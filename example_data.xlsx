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ce-my.sharepoint.com/personal/lsta_norceresearch_no/Documents/Documents/m4h2dev/met4h2/"/>
    </mc:Choice>
  </mc:AlternateContent>
  <xr:revisionPtr revIDLastSave="207" documentId="8_{6EDFAFBD-7060-4066-A938-E7BA94F72229}" xr6:coauthVersionLast="47" xr6:coauthVersionMax="47" xr10:uidLastSave="{C65877AA-973B-4375-A06C-2F07FAFF0082}"/>
  <bookViews>
    <workbookView xWindow="20772" yWindow="2952" windowWidth="34860" windowHeight="14172" tabRatio="658" activeTab="2" xr2:uid="{6F06B787-B8AB-419A-8B60-5DAC5D904425}"/>
  </bookViews>
  <sheets>
    <sheet name="Info" sheetId="13" r:id="rId1"/>
    <sheet name="Configuration" sheetId="1" r:id="rId2"/>
    <sheet name="ProcessData" sheetId="2" r:id="rId3"/>
    <sheet name="Composition" sheetId="8" r:id="rId4"/>
    <sheet name="Turbine_unc" sheetId="16" r:id="rId5"/>
    <sheet name="USM_unc" sheetId="3" state="hidden" r:id="rId6"/>
    <sheet name="Coriolis_unc" sheetId="15" state="hidden" r:id="rId7"/>
    <sheet name="T_unc" sheetId="11" r:id="rId8"/>
    <sheet name="P_unc" sheetId="12" r:id="rId9"/>
    <sheet name="Composition_unc" sheetId="14" r:id="rId10"/>
    <sheet name="lists" sheetId="7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4" i="3"/>
  <c r="B3" i="3"/>
  <c r="B4" i="15"/>
  <c r="B3" i="15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AI1" i="14"/>
  <c r="AJ1" i="14"/>
  <c r="AK1" i="14"/>
  <c r="AL1" i="14"/>
  <c r="AM1" i="14"/>
  <c r="AN1" i="14"/>
  <c r="AO1" i="14"/>
  <c r="AP1" i="14"/>
  <c r="AQ1" i="14"/>
  <c r="B1" i="14"/>
  <c r="B4" i="16"/>
  <c r="B3" i="16"/>
</calcChain>
</file>

<file path=xl/sharedStrings.xml><?xml version="1.0" encoding="utf-8"?>
<sst xmlns="http://schemas.openxmlformats.org/spreadsheetml/2006/main" count="348" uniqueCount="119">
  <si>
    <t>USM</t>
  </si>
  <si>
    <t>Configuration</t>
  </si>
  <si>
    <t>Quality measurement</t>
  </si>
  <si>
    <t>Sampling</t>
  </si>
  <si>
    <t>NA</t>
  </si>
  <si>
    <t>OIML R 140</t>
  </si>
  <si>
    <t>DateTime</t>
  </si>
  <si>
    <t>H2</t>
  </si>
  <si>
    <t>Input variable</t>
  </si>
  <si>
    <t>Uncertainty</t>
  </si>
  <si>
    <t>Distribution</t>
  </si>
  <si>
    <t>Normal</t>
  </si>
  <si>
    <t>Comp</t>
  </si>
  <si>
    <t>OnlineGC</t>
  </si>
  <si>
    <t>EoS</t>
  </si>
  <si>
    <t>GERG-2008</t>
  </si>
  <si>
    <t>inch</t>
  </si>
  <si>
    <t>Unit</t>
  </si>
  <si>
    <t>%</t>
  </si>
  <si>
    <t>Setting</t>
  </si>
  <si>
    <t>Coriolis</t>
  </si>
  <si>
    <t>Single</t>
  </si>
  <si>
    <t>Calorimeter</t>
  </si>
  <si>
    <t>AGA-8</t>
  </si>
  <si>
    <t>Comment</t>
  </si>
  <si>
    <t>cmol_mol-1</t>
  </si>
  <si>
    <t>Sheets</t>
  </si>
  <si>
    <t>Metering station configuration</t>
  </si>
  <si>
    <t>ProcessData</t>
  </si>
  <si>
    <t>Composition</t>
  </si>
  <si>
    <t>USM_unc</t>
  </si>
  <si>
    <t>T_unc</t>
  </si>
  <si>
    <t>P_unc</t>
  </si>
  <si>
    <t>Composition_unc</t>
  </si>
  <si>
    <t>Description</t>
  </si>
  <si>
    <t>Comments</t>
  </si>
  <si>
    <t>Fluid composition vs time</t>
  </si>
  <si>
    <t>Flow rates, Temperature, Pressure vs time</t>
  </si>
  <si>
    <t>Input data for USM uncertainty analysis</t>
  </si>
  <si>
    <t>Input data for temperature transmitter uncertainty analysis</t>
  </si>
  <si>
    <t>Input data for pressure transmitter uncertainty analysis</t>
  </si>
  <si>
    <t>Uncertainty data for composition</t>
  </si>
  <si>
    <t>Detailed uncertainties should be calculated by SW based on more general input (e.g. standard and representability)</t>
  </si>
  <si>
    <t>Process data quantities</t>
  </si>
  <si>
    <t>Confidence interval</t>
  </si>
  <si>
    <t>Project name</t>
  </si>
  <si>
    <t>Project info</t>
  </si>
  <si>
    <t>Test-config</t>
  </si>
  <si>
    <t>From input sheet</t>
  </si>
  <si>
    <t>Composition uncertainty</t>
  </si>
  <si>
    <t>Quantity measurement</t>
  </si>
  <si>
    <t>Parallel</t>
  </si>
  <si>
    <t>Series</t>
  </si>
  <si>
    <t>Base_Conditions</t>
  </si>
  <si>
    <t>Range</t>
  </si>
  <si>
    <t>Qv_max</t>
  </si>
  <si>
    <t>Qv_t</t>
  </si>
  <si>
    <t>Qv_min</t>
  </si>
  <si>
    <t>Turbine</t>
  </si>
  <si>
    <t>Testcase</t>
  </si>
  <si>
    <t>EoS_Tool</t>
  </si>
  <si>
    <t>TREND</t>
  </si>
  <si>
    <t>Standard (ISO13443)</t>
  </si>
  <si>
    <t>NORSOK I-106</t>
  </si>
  <si>
    <t>GCV temperatures</t>
  </si>
  <si>
    <t>choices</t>
  </si>
  <si>
    <t>yes</t>
  </si>
  <si>
    <t>no</t>
  </si>
  <si>
    <t>Qm_max</t>
  </si>
  <si>
    <t>Qm_t</t>
  </si>
  <si>
    <t>Qm_min</t>
  </si>
  <si>
    <t>°C</t>
  </si>
  <si>
    <t>T_max</t>
  </si>
  <si>
    <t>T_i</t>
  </si>
  <si>
    <t>T_min</t>
  </si>
  <si>
    <t>bar</t>
  </si>
  <si>
    <t>P_max</t>
  </si>
  <si>
    <t>P_i</t>
  </si>
  <si>
    <t>P_min</t>
  </si>
  <si>
    <t>Normalize all components</t>
  </si>
  <si>
    <t>By difference component analysis</t>
  </si>
  <si>
    <t>Only applies if 'Normalize all components' --&gt; 'No' is selected.</t>
  </si>
  <si>
    <t>If set to zero, only nominal values are computed.</t>
  </si>
  <si>
    <t>refprop</t>
  </si>
  <si>
    <t>AGA8Detail</t>
  </si>
  <si>
    <t>components</t>
  </si>
  <si>
    <t>C1</t>
  </si>
  <si>
    <t>C2</t>
  </si>
  <si>
    <t>C3</t>
  </si>
  <si>
    <t>n-C4</t>
  </si>
  <si>
    <t>i-C4</t>
  </si>
  <si>
    <t>n-C5</t>
  </si>
  <si>
    <t>i-C5</t>
  </si>
  <si>
    <t>n-C6</t>
  </si>
  <si>
    <t>Gross calorific value temperature</t>
  </si>
  <si>
    <t>Gross calorific value H2 only</t>
  </si>
  <si>
    <t>Base conditions</t>
  </si>
  <si>
    <t>EoS tool</t>
  </si>
  <si>
    <t>Performance requirements</t>
  </si>
  <si>
    <t>Process analyzer</t>
  </si>
  <si>
    <t>Correlation coefficient metering</t>
  </si>
  <si>
    <t>No of meters</t>
  </si>
  <si>
    <t>Meter configuration</t>
  </si>
  <si>
    <t>Quantity meter</t>
  </si>
  <si>
    <t>Pipe diameter</t>
  </si>
  <si>
    <r>
      <t>Volume flow rate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/h]</t>
    </r>
  </si>
  <si>
    <r>
      <t>Standard volume flow rate [Sm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/h]</t>
    </r>
  </si>
  <si>
    <r>
      <t>Normal volume flow rate [Nm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/h]</t>
    </r>
  </si>
  <si>
    <t>Mass flow rate [kg/h]</t>
  </si>
  <si>
    <r>
      <t>Volume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</si>
  <si>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Standard volume [Sm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</si>
  <si>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Normal volume [Nm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</si>
  <si>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Mass [kg]</t>
  </si>
  <si>
    <r>
      <t>T [</t>
    </r>
    <r>
      <rPr>
        <b/>
        <sz val="11"/>
        <color theme="1"/>
        <rFont val="Calibri"/>
        <family val="2"/>
      </rPr>
      <t>°C]</t>
    </r>
  </si>
  <si>
    <t>P [bara]</t>
  </si>
  <si>
    <t>Number of Monte Carlo draws</t>
  </si>
  <si>
    <t>Normal volume flow rate [Nm3/h]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</si>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</sst>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0.0000"/>
    <numFmt numFmtId="166" formatCode="_-* #,##0.000_-;\-* #,##0.00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rgb="FF111111"/>
      <name val="Arial Unicode MS"/>
    </font>
    <font>
      <sz val="10"/>
      <color theme="1"/>
      <name val="Calibri Light"/>
      <family val="2"/>
      <scheme val="maj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9" fillId="4" borderId="0" applyNumberFormat="0" applyBorder="0" applyAlignment="0" applyProtection="0"/>
    <xf numFmtId="0" fontId="10" fillId="0" borderId="0"/>
  </cellStyleXfs>
  <cellXfs count="59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2" borderId="1" xfId="0" applyFill="1" applyBorder="1" applyAlignment="1">
      <alignment horizontal="right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9" fontId="0" fillId="2" borderId="1" xfId="0" applyNumberFormat="1" applyFill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Fill="1" applyBorder="1"/>
    <xf numFmtId="1" fontId="0" fillId="0" borderId="0" xfId="0" quotePrefix="1" applyNumberFormat="1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9" fontId="0" fillId="0" borderId="0" xfId="0" applyNumberFormat="1" applyFill="1" applyBorder="1"/>
    <xf numFmtId="0" fontId="1" fillId="3" borderId="0" xfId="0" applyFont="1" applyFill="1"/>
    <xf numFmtId="22" fontId="0" fillId="0" borderId="0" xfId="0" applyNumberFormat="1"/>
    <xf numFmtId="0" fontId="0" fillId="0" borderId="0" xfId="0" quotePrefix="1"/>
    <xf numFmtId="165" fontId="10" fillId="5" borderId="0" xfId="4" applyNumberFormat="1" applyFill="1" applyProtection="1">
      <protection locked="0"/>
    </xf>
    <xf numFmtId="164" fontId="0" fillId="0" borderId="0" xfId="0" quotePrefix="1" applyNumberForma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right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22" fontId="0" fillId="0" borderId="0" xfId="0" applyNumberFormat="1" applyProtection="1">
      <protection locked="0"/>
    </xf>
    <xf numFmtId="166" fontId="0" fillId="0" borderId="0" xfId="1" applyNumberFormat="1" applyFont="1" applyProtection="1">
      <protection locked="0"/>
    </xf>
    <xf numFmtId="43" fontId="0" fillId="0" borderId="0" xfId="1" applyFont="1" applyProtection="1">
      <protection locked="0"/>
    </xf>
    <xf numFmtId="43" fontId="9" fillId="4" borderId="0" xfId="3" applyNumberFormat="1" applyProtection="1">
      <protection locked="0"/>
    </xf>
    <xf numFmtId="22" fontId="0" fillId="0" borderId="1" xfId="0" applyNumberForma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1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ont="1" applyFill="1" applyBorder="1" applyAlignment="1">
      <alignment wrapText="1"/>
    </xf>
    <xf numFmtId="0" fontId="0" fillId="6" borderId="1" xfId="0" applyFill="1" applyBorder="1"/>
    <xf numFmtId="166" fontId="1" fillId="7" borderId="1" xfId="1" applyNumberFormat="1" applyFont="1" applyFill="1" applyBorder="1" applyProtection="1">
      <protection locked="0"/>
    </xf>
    <xf numFmtId="14" fontId="1" fillId="3" borderId="1" xfId="0" applyNumberFormat="1" applyFont="1" applyFill="1" applyBorder="1"/>
    <xf numFmtId="0" fontId="1" fillId="3" borderId="1" xfId="0" applyFont="1" applyFill="1" applyBorder="1" applyProtection="1">
      <protection locked="0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 applyProtection="1">
      <alignment horizontal="center"/>
    </xf>
    <xf numFmtId="0" fontId="0" fillId="6" borderId="1" xfId="0" applyFill="1" applyBorder="1" applyAlignment="1" applyProtection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" fontId="0" fillId="6" borderId="0" xfId="0" quotePrefix="1" applyNumberFormat="1" applyFont="1" applyFill="1" applyBorder="1"/>
    <xf numFmtId="10" fontId="0" fillId="6" borderId="0" xfId="0" quotePrefix="1" applyNumberFormat="1" applyFill="1" applyBorder="1"/>
    <xf numFmtId="1" fontId="0" fillId="6" borderId="0" xfId="0" quotePrefix="1" applyNumberFormat="1" applyFill="1" applyBorder="1"/>
  </cellXfs>
  <cellStyles count="5">
    <cellStyle name="Bad" xfId="3" builtinId="27"/>
    <cellStyle name="Comma" xfId="1" builtinId="3"/>
    <cellStyle name="Normal" xfId="0" builtinId="0"/>
    <cellStyle name="Normal 2" xfId="2" xr:uid="{0013B025-6694-45BA-B09A-97ABFD972876}"/>
    <cellStyle name="Normal 3" xfId="4" xr:uid="{79F90485-7BA1-467B-A808-6F9319B48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B965-FFD6-47FA-889E-7B2DA4D7C19C}">
  <sheetPr>
    <tabColor theme="7" tint="0.79998168889431442"/>
  </sheetPr>
  <dimension ref="A1:C8"/>
  <sheetViews>
    <sheetView workbookViewId="0">
      <selection activeCell="A14" sqref="A14"/>
    </sheetView>
  </sheetViews>
  <sheetFormatPr defaultRowHeight="14.4"/>
  <cols>
    <col min="1" max="2" width="35.33203125" style="10" customWidth="1"/>
    <col min="3" max="3" width="43.109375" style="10" customWidth="1"/>
  </cols>
  <sheetData>
    <row r="1" spans="1:3">
      <c r="A1" s="11" t="s">
        <v>26</v>
      </c>
      <c r="B1" s="11" t="s">
        <v>34</v>
      </c>
      <c r="C1" s="11" t="s">
        <v>35</v>
      </c>
    </row>
    <row r="2" spans="1:3">
      <c r="A2" s="42" t="s">
        <v>1</v>
      </c>
      <c r="B2" s="43" t="s">
        <v>27</v>
      </c>
      <c r="C2" s="43"/>
    </row>
    <row r="3" spans="1:3" ht="28.8">
      <c r="A3" s="42" t="s">
        <v>28</v>
      </c>
      <c r="B3" s="43" t="s">
        <v>37</v>
      </c>
      <c r="C3" s="43"/>
    </row>
    <row r="4" spans="1:3">
      <c r="A4" s="42" t="s">
        <v>29</v>
      </c>
      <c r="B4" s="43" t="s">
        <v>36</v>
      </c>
      <c r="C4" s="43"/>
    </row>
    <row r="5" spans="1:3">
      <c r="A5" s="42" t="s">
        <v>30</v>
      </c>
      <c r="B5" s="43" t="s">
        <v>38</v>
      </c>
      <c r="C5" s="43"/>
    </row>
    <row r="6" spans="1:3" ht="28.8">
      <c r="A6" s="42" t="s">
        <v>31</v>
      </c>
      <c r="B6" s="43" t="s">
        <v>39</v>
      </c>
      <c r="C6" s="43"/>
    </row>
    <row r="7" spans="1:3" ht="28.8">
      <c r="A7" s="42" t="s">
        <v>32</v>
      </c>
      <c r="B7" s="43" t="s">
        <v>40</v>
      </c>
      <c r="C7" s="43"/>
    </row>
    <row r="8" spans="1:3" ht="49.5" customHeight="1">
      <c r="A8" s="42" t="s">
        <v>33</v>
      </c>
      <c r="B8" s="43" t="s">
        <v>41</v>
      </c>
      <c r="C8" s="43" t="s">
        <v>42</v>
      </c>
    </row>
  </sheetData>
  <sheetProtection algorithmName="SHA-512" hashValue="qfx0yo+iwqA5OaMkH46e3phfXQyv/mLsIqvBNfA3AGjXJ940tUxO14+ZVftTfbi2fOcwXNMZXFrQTa9Tbw6Vlg==" saltValue="Sj0S6PCIngHVK+76BZUNR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1D4A-E73B-425A-B9C8-B0CA1EE90E14}">
  <sheetPr>
    <tabColor theme="7" tint="0.79998168889431442"/>
  </sheetPr>
  <dimension ref="A1:D20"/>
  <sheetViews>
    <sheetView zoomScale="115" zoomScaleNormal="115" workbookViewId="0">
      <selection activeCell="A18" sqref="A18"/>
    </sheetView>
  </sheetViews>
  <sheetFormatPr defaultRowHeight="14.4"/>
  <cols>
    <col min="1" max="1" width="31.109375" bestFit="1" customWidth="1"/>
    <col min="2" max="2" width="15" customWidth="1"/>
    <col min="4" max="4" width="52.33203125" bestFit="1" customWidth="1"/>
  </cols>
  <sheetData>
    <row r="1" spans="1:4">
      <c r="A1" s="3" t="s">
        <v>1</v>
      </c>
      <c r="B1" s="3" t="s">
        <v>19</v>
      </c>
      <c r="C1" s="3" t="s">
        <v>17</v>
      </c>
      <c r="D1" s="3" t="s">
        <v>24</v>
      </c>
    </row>
    <row r="2" spans="1:4">
      <c r="A2" s="44" t="s">
        <v>45</v>
      </c>
      <c r="B2" s="31" t="s">
        <v>59</v>
      </c>
      <c r="C2" s="43"/>
      <c r="D2" s="45">
        <v>1</v>
      </c>
    </row>
    <row r="3" spans="1:4">
      <c r="A3" s="44" t="s">
        <v>46</v>
      </c>
      <c r="B3" s="31" t="s">
        <v>47</v>
      </c>
      <c r="C3" s="43"/>
      <c r="D3" s="45">
        <v>2</v>
      </c>
    </row>
    <row r="4" spans="1:4">
      <c r="A4" s="45" t="s">
        <v>103</v>
      </c>
      <c r="B4" s="45" t="s">
        <v>58</v>
      </c>
      <c r="C4" s="45"/>
      <c r="D4" s="45">
        <v>3</v>
      </c>
    </row>
    <row r="5" spans="1:4">
      <c r="A5" s="45" t="s">
        <v>102</v>
      </c>
      <c r="B5" s="45" t="s">
        <v>21</v>
      </c>
      <c r="C5" s="45"/>
      <c r="D5" s="45">
        <v>4</v>
      </c>
    </row>
    <row r="6" spans="1:4">
      <c r="A6" s="45" t="s">
        <v>101</v>
      </c>
      <c r="B6" s="45">
        <v>1</v>
      </c>
      <c r="C6" s="45"/>
      <c r="D6" s="45">
        <v>5</v>
      </c>
    </row>
    <row r="7" spans="1:4">
      <c r="A7" s="45" t="s">
        <v>100</v>
      </c>
      <c r="B7" s="45">
        <v>0</v>
      </c>
      <c r="C7" s="45"/>
      <c r="D7" s="45">
        <v>6</v>
      </c>
    </row>
    <row r="8" spans="1:4">
      <c r="A8" s="45" t="s">
        <v>99</v>
      </c>
      <c r="B8" s="45" t="s">
        <v>13</v>
      </c>
      <c r="C8" s="45"/>
      <c r="D8" s="45">
        <v>7</v>
      </c>
    </row>
    <row r="9" spans="1:4">
      <c r="A9" s="45" t="s">
        <v>3</v>
      </c>
      <c r="B9" s="45" t="s">
        <v>4</v>
      </c>
      <c r="C9" s="45"/>
      <c r="D9" s="45">
        <v>8</v>
      </c>
    </row>
    <row r="10" spans="1:4">
      <c r="A10" s="45" t="s">
        <v>98</v>
      </c>
      <c r="B10" s="45" t="s">
        <v>5</v>
      </c>
      <c r="C10" s="45"/>
      <c r="D10" s="45">
        <v>9</v>
      </c>
    </row>
    <row r="11" spans="1:4">
      <c r="A11" s="45" t="s">
        <v>14</v>
      </c>
      <c r="B11" s="32" t="s">
        <v>15</v>
      </c>
      <c r="C11" s="45"/>
      <c r="D11" s="45">
        <v>10</v>
      </c>
    </row>
    <row r="12" spans="1:4">
      <c r="A12" s="45" t="s">
        <v>97</v>
      </c>
      <c r="B12" s="32" t="s">
        <v>83</v>
      </c>
      <c r="C12" s="45"/>
      <c r="D12" s="45">
        <v>11</v>
      </c>
    </row>
    <row r="13" spans="1:4">
      <c r="A13" s="45" t="s">
        <v>104</v>
      </c>
      <c r="B13" s="45">
        <v>10</v>
      </c>
      <c r="C13" s="45" t="s">
        <v>16</v>
      </c>
      <c r="D13" s="45">
        <v>12</v>
      </c>
    </row>
    <row r="14" spans="1:4">
      <c r="A14" s="45" t="s">
        <v>96</v>
      </c>
      <c r="B14" s="32" t="s">
        <v>11</v>
      </c>
      <c r="C14" s="45"/>
      <c r="D14" s="45">
        <v>13</v>
      </c>
    </row>
    <row r="15" spans="1:4">
      <c r="A15" s="45" t="s">
        <v>49</v>
      </c>
      <c r="B15" s="45" t="s">
        <v>48</v>
      </c>
      <c r="C15" s="45"/>
      <c r="D15" s="45">
        <v>14</v>
      </c>
    </row>
    <row r="16" spans="1:4">
      <c r="A16" s="45" t="s">
        <v>79</v>
      </c>
      <c r="B16" s="32" t="s">
        <v>67</v>
      </c>
      <c r="C16" s="45"/>
      <c r="D16" s="45">
        <v>15</v>
      </c>
    </row>
    <row r="17" spans="1:4" s="13" customFormat="1">
      <c r="A17" s="45" t="s">
        <v>80</v>
      </c>
      <c r="B17" s="33" t="s">
        <v>7</v>
      </c>
      <c r="C17" s="45"/>
      <c r="D17" s="45" t="s">
        <v>81</v>
      </c>
    </row>
    <row r="18" spans="1:4">
      <c r="A18" s="45" t="s">
        <v>94</v>
      </c>
      <c r="B18" s="32">
        <v>20</v>
      </c>
      <c r="C18" s="45" t="s">
        <v>71</v>
      </c>
      <c r="D18" s="45">
        <v>17</v>
      </c>
    </row>
    <row r="19" spans="1:4">
      <c r="A19" s="45" t="s">
        <v>95</v>
      </c>
      <c r="B19" s="32" t="s">
        <v>66</v>
      </c>
      <c r="C19" s="45"/>
      <c r="D19" s="45">
        <v>18</v>
      </c>
    </row>
    <row r="20" spans="1:4">
      <c r="A20" s="45" t="s">
        <v>115</v>
      </c>
      <c r="B20" s="32">
        <v>100</v>
      </c>
      <c r="C20" s="45"/>
      <c r="D20" s="45" t="s">
        <v>82</v>
      </c>
    </row>
  </sheetData>
  <sheetProtection algorithmName="SHA-512" hashValue="wbCLt/62dkRm9j+nCfVv4s0w+pAuiUyVod4ToYsRo0NDQ4jV0CFcl9iD7dfOgYZa1OOoloj5ls+7myxyH8Kw9A==" saltValue="ocM8PFJL/ACEWcmx5/kKPg==" spinCount="100000" sheet="1" objects="1" scenarios="1"/>
  <dataValidations count="1">
    <dataValidation type="whole" allowBlank="1" showInputMessage="1" showErrorMessage="1" sqref="B20" xr:uid="{A47B588F-0440-431B-A54A-496D052BC4DA}">
      <formula1>0</formula1>
      <formula2>10000</formula2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51440A9-F11F-44C0-8DFA-541A1342DA5D}">
          <x14:formula1>
            <xm:f>lists!$F$2:$F$3</xm:f>
          </x14:formula1>
          <xm:sqref>B15</xm:sqref>
        </x14:dataValidation>
        <x14:dataValidation type="list" allowBlank="1" showInputMessage="1" showErrorMessage="1" xr:uid="{49476DD6-064F-4771-97E4-16D38630CA61}">
          <x14:formula1>
            <xm:f>lists!$A$2:$A$4</xm:f>
          </x14:formula1>
          <xm:sqref>B4</xm:sqref>
        </x14:dataValidation>
        <x14:dataValidation type="list" allowBlank="1" showInputMessage="1" showErrorMessage="1" xr:uid="{EF685D76-60D3-4F8F-BAEF-6071809A1796}">
          <x14:formula1>
            <xm:f>lists!$B$2:$B$10</xm:f>
          </x14:formula1>
          <xm:sqref>B5</xm:sqref>
        </x14:dataValidation>
        <x14:dataValidation type="list" allowBlank="1" showInputMessage="1" showErrorMessage="1" xr:uid="{53A5C89C-1749-40FB-8BD5-BFFD5B47728B}">
          <x14:formula1>
            <xm:f>lists!$C$2:$C$4</xm:f>
          </x14:formula1>
          <xm:sqref>B8</xm:sqref>
        </x14:dataValidation>
        <x14:dataValidation type="list" allowBlank="1" showInputMessage="1" showErrorMessage="1" xr:uid="{2C5944BD-AACE-49DD-8711-0F5AAEB08F97}">
          <x14:formula1>
            <xm:f>lists!$E$2:$E$3</xm:f>
          </x14:formula1>
          <xm:sqref>B11</xm:sqref>
        </x14:dataValidation>
        <x14:dataValidation type="list" allowBlank="1" showInputMessage="1" showErrorMessage="1" xr:uid="{D0CE8F77-4EA1-4C74-83BF-1B8933DC8A57}">
          <x14:formula1>
            <xm:f>lists!$G$2:$G$3</xm:f>
          </x14:formula1>
          <xm:sqref>B14</xm:sqref>
        </x14:dataValidation>
        <x14:dataValidation type="list" allowBlank="1" showInputMessage="1" showErrorMessage="1" xr:uid="{1000AA24-2D64-4DDF-BAA3-D5CEDC464D19}">
          <x14:formula1>
            <xm:f>lists!$J$2:$J$3</xm:f>
          </x14:formula1>
          <xm:sqref>B19 B16</xm:sqref>
        </x14:dataValidation>
        <x14:dataValidation type="list" allowBlank="1" showInputMessage="1" showErrorMessage="1" xr:uid="{B7BC93B3-800D-4CC7-9012-5D4D08FAE700}">
          <x14:formula1>
            <xm:f>lists!$I$2:$I$6</xm:f>
          </x14:formula1>
          <xm:sqref>B18</xm:sqref>
        </x14:dataValidation>
        <x14:dataValidation type="list" allowBlank="1" showInputMessage="1" showErrorMessage="1" xr:uid="{9E9CA37C-67F8-41F3-B9AB-E67589B3AD4D}">
          <x14:formula1>
            <xm:f>lists!$K$2:$K$10</xm:f>
          </x14:formula1>
          <xm:sqref>B17</xm:sqref>
        </x14:dataValidation>
        <x14:dataValidation type="list" allowBlank="1" showInputMessage="1" showErrorMessage="1" xr:uid="{07A74CBC-2666-43C6-95E5-720A50E4551B}">
          <x14:formula1>
            <xm:f>lists!$H$2:$H$4</xm:f>
          </x14:formula1>
          <xm:sqref>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39A4-51D9-430E-A18B-64F9E35A4438}">
  <sheetPr>
    <tabColor theme="7" tint="0.79998168889431442"/>
  </sheetPr>
  <dimension ref="A1:G2977"/>
  <sheetViews>
    <sheetView tabSelected="1" workbookViewId="0">
      <selection activeCell="B1" sqref="B1"/>
    </sheetView>
  </sheetViews>
  <sheetFormatPr defaultRowHeight="14.4"/>
  <cols>
    <col min="1" max="1" width="15.33203125" style="28" bestFit="1" customWidth="1"/>
    <col min="2" max="2" width="31.5546875" style="40" bestFit="1" customWidth="1"/>
    <col min="3" max="3" width="6.88671875" style="28" bestFit="1" customWidth="1"/>
    <col min="4" max="4" width="7.6640625" style="28" customWidth="1"/>
  </cols>
  <sheetData>
    <row r="1" spans="1:7">
      <c r="A1" s="3" t="s">
        <v>6</v>
      </c>
      <c r="B1" s="46" t="s">
        <v>116</v>
      </c>
      <c r="C1" s="3" t="s">
        <v>113</v>
      </c>
      <c r="D1" s="3" t="s">
        <v>114</v>
      </c>
    </row>
    <row r="2" spans="1:7">
      <c r="A2" s="34">
        <v>44658</v>
      </c>
      <c r="B2" s="35">
        <v>3.4694469519536099E-17</v>
      </c>
      <c r="C2" s="36">
        <v>9.4374322658112693</v>
      </c>
      <c r="D2" s="36">
        <v>18.717241380055899</v>
      </c>
      <c r="G2" s="23"/>
    </row>
    <row r="3" spans="1:7">
      <c r="A3" s="34">
        <v>44658.041666666664</v>
      </c>
      <c r="B3" s="35">
        <v>3.4694469519536099E-17</v>
      </c>
      <c r="C3" s="36">
        <v>9.5499992370605504</v>
      </c>
      <c r="D3" s="36">
        <v>18.883804551017999</v>
      </c>
      <c r="G3" s="23"/>
    </row>
    <row r="4" spans="1:7">
      <c r="A4" s="34">
        <v>44658.083333333336</v>
      </c>
      <c r="B4" s="35">
        <v>3.4694469519536099E-17</v>
      </c>
      <c r="C4" s="36">
        <v>9.3886026128136706</v>
      </c>
      <c r="D4" s="36">
        <v>18.738443101247199</v>
      </c>
      <c r="G4" s="23"/>
    </row>
    <row r="5" spans="1:7">
      <c r="A5" s="34">
        <v>44658.125</v>
      </c>
      <c r="B5" s="35">
        <v>3.4694469519536099E-17</v>
      </c>
      <c r="C5" s="36">
        <v>9.0395392742156897</v>
      </c>
      <c r="D5" s="36">
        <v>18.112960055033302</v>
      </c>
      <c r="G5" s="23"/>
    </row>
    <row r="6" spans="1:7">
      <c r="A6" s="34">
        <v>44658.166666666664</v>
      </c>
      <c r="B6" s="35">
        <v>38.201032102372899</v>
      </c>
      <c r="C6" s="36">
        <v>8.7990973665442596</v>
      </c>
      <c r="D6" s="36">
        <v>17.5011493127611</v>
      </c>
      <c r="G6" s="23"/>
    </row>
    <row r="7" spans="1:7">
      <c r="A7" s="34">
        <v>44658.208333333336</v>
      </c>
      <c r="B7" s="35">
        <v>875.400206500585</v>
      </c>
      <c r="C7" s="36">
        <v>8.8734806037480798</v>
      </c>
      <c r="D7" s="36">
        <v>17.019739488813599</v>
      </c>
      <c r="G7" s="23"/>
    </row>
    <row r="8" spans="1:7">
      <c r="A8" s="34">
        <v>44658.25</v>
      </c>
      <c r="B8" s="35">
        <v>2410.6926902669302</v>
      </c>
      <c r="C8" s="36">
        <v>9.1867247418304299</v>
      </c>
      <c r="D8" s="36">
        <v>16.946249090830399</v>
      </c>
      <c r="G8" s="23"/>
    </row>
    <row r="9" spans="1:7">
      <c r="A9" s="34">
        <v>44658.291666666664</v>
      </c>
      <c r="B9" s="35">
        <v>3302.0491224500902</v>
      </c>
      <c r="C9" s="36">
        <v>9.0063021117311699</v>
      </c>
      <c r="D9" s="36">
        <v>16.8617586080764</v>
      </c>
      <c r="G9" s="23"/>
    </row>
    <row r="10" spans="1:7">
      <c r="A10" s="34">
        <v>44658.333333333336</v>
      </c>
      <c r="B10" s="35">
        <v>2968.8281888542601</v>
      </c>
      <c r="C10" s="36">
        <v>8.9379604687740297</v>
      </c>
      <c r="D10" s="36">
        <v>16.717595701053099</v>
      </c>
      <c r="G10" s="23"/>
    </row>
    <row r="11" spans="1:7">
      <c r="A11" s="34">
        <v>44658.375</v>
      </c>
      <c r="B11" s="35">
        <v>3498.89088905165</v>
      </c>
      <c r="C11" s="36">
        <v>8.8737447636913398</v>
      </c>
      <c r="D11" s="36">
        <v>16.464614617665799</v>
      </c>
      <c r="G11" s="23"/>
    </row>
    <row r="12" spans="1:7">
      <c r="A12" s="34">
        <v>44658.416666666664</v>
      </c>
      <c r="B12" s="35">
        <v>4454.1971410590204</v>
      </c>
      <c r="C12" s="36">
        <v>8.9527564453552397</v>
      </c>
      <c r="D12" s="36">
        <v>16.341762918684399</v>
      </c>
      <c r="G12" s="23"/>
    </row>
    <row r="13" spans="1:7">
      <c r="A13" s="34">
        <v>44658.458333333336</v>
      </c>
      <c r="B13" s="35">
        <v>5315.4947994791701</v>
      </c>
      <c r="C13" s="36">
        <v>8.6775493655731601</v>
      </c>
      <c r="D13" s="36">
        <v>16.455416392432401</v>
      </c>
      <c r="G13" s="23"/>
    </row>
    <row r="14" spans="1:7">
      <c r="A14" s="34">
        <v>44658.5</v>
      </c>
      <c r="B14" s="35">
        <v>6351.5919882812404</v>
      </c>
      <c r="C14" s="36">
        <v>9.6648737839590808</v>
      </c>
      <c r="D14" s="36">
        <v>17.085778903961099</v>
      </c>
      <c r="G14" s="23"/>
    </row>
    <row r="15" spans="1:7">
      <c r="A15" s="34">
        <v>44658.541666666664</v>
      </c>
      <c r="B15" s="35">
        <v>6251.4736604817699</v>
      </c>
      <c r="C15" s="36">
        <v>10.6706020240782</v>
      </c>
      <c r="D15" s="36">
        <v>17.639966951582199</v>
      </c>
      <c r="G15" s="23"/>
    </row>
    <row r="16" spans="1:7">
      <c r="A16" s="34">
        <v>44658.583333333336</v>
      </c>
      <c r="B16" s="35">
        <v>3832.5669087456599</v>
      </c>
      <c r="C16" s="36">
        <v>10.9018079630532</v>
      </c>
      <c r="D16" s="36">
        <v>17.868421765221498</v>
      </c>
      <c r="G16" s="23"/>
    </row>
    <row r="17" spans="1:7">
      <c r="A17" s="34">
        <v>44658.625</v>
      </c>
      <c r="B17" s="35">
        <v>3701.2682888997401</v>
      </c>
      <c r="C17" s="36">
        <v>10.421481256484901</v>
      </c>
      <c r="D17" s="36">
        <v>17.712980447134001</v>
      </c>
      <c r="G17" s="23"/>
    </row>
    <row r="18" spans="1:7">
      <c r="A18" s="34">
        <v>44658.666666666664</v>
      </c>
      <c r="B18" s="35">
        <v>4107.1023136935801</v>
      </c>
      <c r="C18" s="36">
        <v>10.2420919297537</v>
      </c>
      <c r="D18" s="36">
        <v>17.600555898878198</v>
      </c>
      <c r="G18" s="23"/>
    </row>
    <row r="19" spans="1:7">
      <c r="A19" s="34">
        <v>44658.708333333336</v>
      </c>
      <c r="B19" s="35">
        <v>3859.9916476779499</v>
      </c>
      <c r="C19" s="36">
        <v>9.9540397932266806</v>
      </c>
      <c r="D19" s="36">
        <v>17.582771689521099</v>
      </c>
      <c r="G19" s="23"/>
    </row>
    <row r="20" spans="1:7">
      <c r="A20" s="34">
        <v>44658.75</v>
      </c>
      <c r="B20" s="35">
        <v>3842.6205161132798</v>
      </c>
      <c r="C20" s="36">
        <v>9.2954114629955598</v>
      </c>
      <c r="D20" s="36">
        <v>17.352167451646402</v>
      </c>
      <c r="G20" s="23"/>
    </row>
    <row r="21" spans="1:7">
      <c r="A21" s="34">
        <v>44658.791666666664</v>
      </c>
      <c r="B21" s="35">
        <v>4647.2057428385397</v>
      </c>
      <c r="C21" s="36">
        <v>9.4602280627363893</v>
      </c>
      <c r="D21" s="36">
        <v>17.214949779934599</v>
      </c>
      <c r="G21" s="23"/>
    </row>
    <row r="22" spans="1:7">
      <c r="A22" s="34">
        <v>44658.833333333336</v>
      </c>
      <c r="B22" s="35">
        <v>5992.57588096788</v>
      </c>
      <c r="C22" s="36">
        <v>8.4183118584948602</v>
      </c>
      <c r="D22" s="36">
        <v>17.078387386746002</v>
      </c>
      <c r="G22" s="23"/>
    </row>
    <row r="23" spans="1:7">
      <c r="A23" s="34">
        <v>44658.875</v>
      </c>
      <c r="B23" s="35">
        <v>5687.60524403212</v>
      </c>
      <c r="C23" s="36">
        <v>8.7278408463792392</v>
      </c>
      <c r="D23" s="36">
        <v>16.874008300357101</v>
      </c>
      <c r="G23" s="23"/>
    </row>
    <row r="24" spans="1:7">
      <c r="A24" s="34">
        <v>44658.916666666664</v>
      </c>
      <c r="B24" s="35">
        <v>4740.4866554904502</v>
      </c>
      <c r="C24" s="36">
        <v>8.5385317463344794</v>
      </c>
      <c r="D24" s="36">
        <v>16.721511199103698</v>
      </c>
      <c r="G24" s="23"/>
    </row>
    <row r="25" spans="1:7">
      <c r="A25" s="34">
        <v>44658.958333333336</v>
      </c>
      <c r="B25" s="35">
        <v>4805.6732042100703</v>
      </c>
      <c r="C25" s="36">
        <v>8.2298173035516804</v>
      </c>
      <c r="D25" s="36">
        <v>16.530984592013699</v>
      </c>
      <c r="G25" s="23"/>
    </row>
    <row r="26" spans="1:7">
      <c r="A26" s="34">
        <v>44659</v>
      </c>
      <c r="B26" s="35">
        <v>6260.2777548828099</v>
      </c>
      <c r="C26" s="36">
        <v>8.4768848726485704</v>
      </c>
      <c r="D26" s="36">
        <v>16.494531245761301</v>
      </c>
      <c r="G26" s="23"/>
    </row>
    <row r="27" spans="1:7">
      <c r="A27" s="34">
        <v>44659.041666666664</v>
      </c>
      <c r="B27" s="35">
        <v>5672.4746564670204</v>
      </c>
      <c r="C27" s="36">
        <v>8.3477534353471796</v>
      </c>
      <c r="D27" s="36">
        <v>16.317611538781399</v>
      </c>
      <c r="G27" s="23"/>
    </row>
    <row r="28" spans="1:7">
      <c r="A28" s="34">
        <v>44659.083333333336</v>
      </c>
      <c r="B28" s="35">
        <v>7418.7067904730902</v>
      </c>
      <c r="C28" s="36">
        <v>8.6311454616120695</v>
      </c>
      <c r="D28" s="36">
        <v>16.558036744859201</v>
      </c>
      <c r="G28" s="23"/>
    </row>
    <row r="29" spans="1:7">
      <c r="A29" s="34">
        <v>44659.125</v>
      </c>
      <c r="B29" s="35">
        <v>6859.4266704644097</v>
      </c>
      <c r="C29" s="36">
        <v>8.5184354676135694</v>
      </c>
      <c r="D29" s="36">
        <v>16.758718793233498</v>
      </c>
      <c r="G29" s="23"/>
    </row>
    <row r="30" spans="1:7">
      <c r="A30" s="34">
        <v>44659.166666666664</v>
      </c>
      <c r="B30" s="35">
        <v>6572.0675302734398</v>
      </c>
      <c r="C30" s="36">
        <v>8.2625606528382995</v>
      </c>
      <c r="D30" s="36">
        <v>16.929103538089201</v>
      </c>
      <c r="G30" s="23"/>
    </row>
    <row r="31" spans="1:7">
      <c r="A31" s="34">
        <v>44659.208333333336</v>
      </c>
      <c r="B31" s="35">
        <v>6354.1306111111198</v>
      </c>
      <c r="C31" s="36">
        <v>8.2694264812465796</v>
      </c>
      <c r="D31" s="36">
        <v>17.1306870867414</v>
      </c>
      <c r="G31" s="23"/>
    </row>
    <row r="32" spans="1:7">
      <c r="A32" s="34">
        <v>44659.25</v>
      </c>
      <c r="B32" s="35">
        <v>5283.5679019097197</v>
      </c>
      <c r="C32" s="36">
        <v>8.1199996948237292</v>
      </c>
      <c r="D32" s="36">
        <v>17.106419824388102</v>
      </c>
      <c r="G32" s="23"/>
    </row>
    <row r="33" spans="1:7">
      <c r="A33" s="34">
        <v>44659.291666666664</v>
      </c>
      <c r="B33" s="35">
        <v>5404.2810006510399</v>
      </c>
      <c r="C33" s="36">
        <v>8.1244302465646197</v>
      </c>
      <c r="D33" s="36">
        <v>16.8299247788324</v>
      </c>
      <c r="G33" s="23"/>
    </row>
    <row r="34" spans="1:7">
      <c r="A34" s="34">
        <v>44659.333333333336</v>
      </c>
      <c r="B34" s="35">
        <v>6807.0012762586803</v>
      </c>
      <c r="C34" s="36">
        <v>8.5528486480709205</v>
      </c>
      <c r="D34" s="36">
        <v>16.534761401282601</v>
      </c>
      <c r="G34" s="23"/>
    </row>
    <row r="35" spans="1:7">
      <c r="A35" s="34">
        <v>44659.375</v>
      </c>
      <c r="B35" s="35">
        <v>7036.58701963975</v>
      </c>
      <c r="C35" s="36">
        <v>9.1274470640821708</v>
      </c>
      <c r="D35" s="36">
        <v>16.453273893568099</v>
      </c>
      <c r="G35" s="23"/>
    </row>
    <row r="36" spans="1:7">
      <c r="A36" s="34">
        <v>44659.416666666664</v>
      </c>
      <c r="B36" s="35">
        <v>6314.5574484591898</v>
      </c>
      <c r="C36" s="36">
        <v>9.1922860372337905</v>
      </c>
      <c r="D36" s="36">
        <v>16.488836483425501</v>
      </c>
      <c r="G36" s="23"/>
    </row>
    <row r="37" spans="1:7">
      <c r="A37" s="34">
        <v>44659.458333333336</v>
      </c>
      <c r="B37" s="35">
        <v>5851.14018934461</v>
      </c>
      <c r="C37" s="36">
        <v>9.3234604426485497</v>
      </c>
      <c r="D37" s="36">
        <v>16.386544308980099</v>
      </c>
      <c r="G37" s="23"/>
    </row>
    <row r="38" spans="1:7">
      <c r="A38" s="34">
        <v>44659.5</v>
      </c>
      <c r="B38" s="35">
        <v>7953.3862949218901</v>
      </c>
      <c r="C38" s="36">
        <v>9.3695274776889104</v>
      </c>
      <c r="D38" s="36">
        <v>16.172066918691598</v>
      </c>
      <c r="G38" s="23"/>
    </row>
    <row r="39" spans="1:7">
      <c r="A39" s="34">
        <v>44659.541666666664</v>
      </c>
      <c r="B39" s="35">
        <v>10213.131847656299</v>
      </c>
      <c r="C39" s="36">
        <v>9.4532178050145408</v>
      </c>
      <c r="D39" s="36">
        <v>16.1580962401496</v>
      </c>
      <c r="G39" s="23"/>
    </row>
    <row r="40" spans="1:7">
      <c r="A40" s="34">
        <v>44659.583333333336</v>
      </c>
      <c r="B40" s="35">
        <v>10366.311461588501</v>
      </c>
      <c r="C40" s="36">
        <v>9.6049380512239306</v>
      </c>
      <c r="D40" s="36">
        <v>16.555693231370402</v>
      </c>
      <c r="G40" s="23"/>
    </row>
    <row r="41" spans="1:7">
      <c r="A41" s="34">
        <v>44659.625</v>
      </c>
      <c r="B41" s="35">
        <v>10148.586475911499</v>
      </c>
      <c r="C41" s="36">
        <v>9.65999908447297</v>
      </c>
      <c r="D41" s="36">
        <v>16.630204733954301</v>
      </c>
      <c r="G41" s="23"/>
    </row>
    <row r="42" spans="1:7">
      <c r="A42" s="34">
        <v>44659.666666666664</v>
      </c>
      <c r="B42" s="35">
        <v>10024.374426866299</v>
      </c>
      <c r="C42" s="36">
        <v>9.8774023623993692</v>
      </c>
      <c r="D42" s="36">
        <v>16.316727553473299</v>
      </c>
      <c r="G42" s="23"/>
    </row>
    <row r="43" spans="1:7">
      <c r="A43" s="34">
        <v>44659.708333333336</v>
      </c>
      <c r="B43" s="35">
        <v>11683.5851666667</v>
      </c>
      <c r="C43" s="36">
        <v>9.7567079925540998</v>
      </c>
      <c r="D43" s="36">
        <v>16.3335344234047</v>
      </c>
      <c r="G43" s="23"/>
    </row>
    <row r="44" spans="1:7">
      <c r="A44" s="34">
        <v>44659.75</v>
      </c>
      <c r="B44" s="35">
        <v>10796.6566143663</v>
      </c>
      <c r="C44" s="36">
        <v>9.7506282318963304</v>
      </c>
      <c r="D44" s="36">
        <v>16.409781711578798</v>
      </c>
      <c r="G44" s="23"/>
    </row>
    <row r="45" spans="1:7">
      <c r="A45" s="34">
        <v>44659.791666666664</v>
      </c>
      <c r="B45" s="35">
        <v>11481.1171840278</v>
      </c>
      <c r="C45" s="36">
        <v>9.5663777099181395</v>
      </c>
      <c r="D45" s="36">
        <v>16.4277326155769</v>
      </c>
      <c r="G45" s="23"/>
    </row>
    <row r="46" spans="1:7">
      <c r="A46" s="34">
        <v>44659.833333333336</v>
      </c>
      <c r="B46" s="35">
        <v>11146.7142107205</v>
      </c>
      <c r="C46" s="36">
        <v>9.34634783066676</v>
      </c>
      <c r="D46" s="36">
        <v>16.405781800587999</v>
      </c>
      <c r="G46" s="23"/>
    </row>
    <row r="47" spans="1:7">
      <c r="A47" s="34">
        <v>44659.875</v>
      </c>
      <c r="B47" s="35">
        <v>10919.712812283</v>
      </c>
      <c r="C47" s="36">
        <v>9.1370193205939092</v>
      </c>
      <c r="D47" s="36">
        <v>16.311223794301199</v>
      </c>
      <c r="G47" s="23"/>
    </row>
    <row r="48" spans="1:7">
      <c r="A48" s="34">
        <v>44659.916666666664</v>
      </c>
      <c r="B48" s="35">
        <v>10904.9561842448</v>
      </c>
      <c r="C48" s="36">
        <v>8.9736306764811999</v>
      </c>
      <c r="D48" s="36">
        <v>16.40294008255</v>
      </c>
      <c r="G48" s="23"/>
    </row>
    <row r="49" spans="1:7">
      <c r="A49" s="34">
        <v>44659.958333333336</v>
      </c>
      <c r="B49" s="35">
        <v>11836.6444539931</v>
      </c>
      <c r="C49" s="36">
        <v>8.7870279117154695</v>
      </c>
      <c r="D49" s="36">
        <v>16.517640556335898</v>
      </c>
      <c r="G49" s="23"/>
    </row>
    <row r="50" spans="1:7">
      <c r="A50" s="34">
        <v>44660</v>
      </c>
      <c r="B50" s="35">
        <v>10828.1211230469</v>
      </c>
      <c r="C50" s="36">
        <v>8.5325312016808201</v>
      </c>
      <c r="D50" s="36">
        <v>16.5584505420262</v>
      </c>
      <c r="G50" s="23"/>
    </row>
    <row r="51" spans="1:7">
      <c r="A51" s="34">
        <v>44660.041666666664</v>
      </c>
      <c r="B51" s="35">
        <v>10852.108122178801</v>
      </c>
      <c r="C51" s="36">
        <v>8.3173223145800392</v>
      </c>
      <c r="D51" s="36">
        <v>16.618613546159501</v>
      </c>
      <c r="G51" s="23"/>
    </row>
    <row r="52" spans="1:7">
      <c r="A52" s="34">
        <v>44660.083333333336</v>
      </c>
      <c r="B52" s="35">
        <v>11468.692002387201</v>
      </c>
      <c r="C52" s="36">
        <v>8.1672684457562106</v>
      </c>
      <c r="D52" s="36">
        <v>16.7174990946456</v>
      </c>
      <c r="G52" s="23"/>
    </row>
    <row r="53" spans="1:7">
      <c r="A53" s="34">
        <v>44660.125</v>
      </c>
      <c r="B53" s="35">
        <v>11448.944399739599</v>
      </c>
      <c r="C53" s="36">
        <v>7.9827360581296798</v>
      </c>
      <c r="D53" s="36">
        <v>16.963272778405301</v>
      </c>
      <c r="G53" s="23"/>
    </row>
    <row r="54" spans="1:7">
      <c r="A54" s="34">
        <v>44660.166666666664</v>
      </c>
      <c r="B54" s="35">
        <v>10128.451417317699</v>
      </c>
      <c r="C54" s="36">
        <v>7.8253889158041297</v>
      </c>
      <c r="D54" s="36">
        <v>16.840656144883699</v>
      </c>
      <c r="G54" s="23"/>
    </row>
    <row r="55" spans="1:7">
      <c r="A55" s="34">
        <v>44660.208333333336</v>
      </c>
      <c r="B55" s="35">
        <v>10225.835476345501</v>
      </c>
      <c r="C55" s="36">
        <v>7.7900001525883704</v>
      </c>
      <c r="D55" s="36">
        <v>16.615573141734199</v>
      </c>
      <c r="G55" s="23"/>
    </row>
    <row r="56" spans="1:7">
      <c r="A56" s="34">
        <v>44660.25</v>
      </c>
      <c r="B56" s="35">
        <v>10912.6674652778</v>
      </c>
      <c r="C56" s="36">
        <v>7.66777791553044</v>
      </c>
      <c r="D56" s="36">
        <v>16.510953158484298</v>
      </c>
      <c r="G56" s="23"/>
    </row>
    <row r="57" spans="1:7">
      <c r="A57" s="34">
        <v>44660.291666666664</v>
      </c>
      <c r="B57" s="35">
        <v>12479.321887152801</v>
      </c>
      <c r="C57" s="36">
        <v>7.5700004577632001</v>
      </c>
      <c r="D57" s="36">
        <v>16.6368645176358</v>
      </c>
      <c r="G57" s="23"/>
    </row>
    <row r="58" spans="1:7">
      <c r="A58" s="34">
        <v>44660.333333333336</v>
      </c>
      <c r="B58" s="35">
        <v>12470.412361545101</v>
      </c>
      <c r="C58" s="36">
        <v>7.6321499421864898</v>
      </c>
      <c r="D58" s="36">
        <v>17.015145568847998</v>
      </c>
      <c r="G58" s="23"/>
    </row>
    <row r="59" spans="1:7">
      <c r="A59" s="34">
        <v>44660.375</v>
      </c>
      <c r="B59" s="35">
        <v>11333.1132832031</v>
      </c>
      <c r="C59" s="36">
        <v>7.9009772582585898</v>
      </c>
      <c r="D59" s="36">
        <v>17.255503431956399</v>
      </c>
      <c r="G59" s="23"/>
    </row>
    <row r="60" spans="1:7">
      <c r="A60" s="34">
        <v>44660.416666666664</v>
      </c>
      <c r="B60" s="35">
        <v>10669.668876953099</v>
      </c>
      <c r="C60" s="36">
        <v>8.4543995227808804</v>
      </c>
      <c r="D60" s="36">
        <v>17.342237823910001</v>
      </c>
      <c r="G60" s="23"/>
    </row>
    <row r="61" spans="1:7">
      <c r="A61" s="34">
        <v>44660.458333333336</v>
      </c>
      <c r="B61" s="35">
        <v>11470.039863064199</v>
      </c>
      <c r="C61" s="36">
        <v>8.5701087334953403</v>
      </c>
      <c r="D61" s="36">
        <v>17.287834741804499</v>
      </c>
      <c r="G61" s="23"/>
    </row>
    <row r="62" spans="1:7">
      <c r="A62" s="34">
        <v>44660.5</v>
      </c>
      <c r="B62" s="35">
        <v>10259.7175646702</v>
      </c>
      <c r="C62" s="36">
        <v>8.7730489042068402</v>
      </c>
      <c r="D62" s="36">
        <v>17.1780285771687</v>
      </c>
      <c r="G62" s="23"/>
    </row>
    <row r="63" spans="1:7">
      <c r="A63" s="34">
        <v>44660.541666666664</v>
      </c>
      <c r="B63" s="35">
        <v>11006.7639112413</v>
      </c>
      <c r="C63" s="36">
        <v>8.7949791829847808</v>
      </c>
      <c r="D63" s="36">
        <v>17.265096167246799</v>
      </c>
      <c r="G63" s="23"/>
    </row>
    <row r="64" spans="1:7">
      <c r="A64" s="34">
        <v>44660.583333333336</v>
      </c>
      <c r="B64" s="35">
        <v>11289.2550438368</v>
      </c>
      <c r="C64" s="36">
        <v>9.4972871447670002</v>
      </c>
      <c r="D64" s="36">
        <v>17.382824210696199</v>
      </c>
      <c r="G64" s="23"/>
    </row>
    <row r="65" spans="1:7">
      <c r="A65" s="34">
        <v>44660.625</v>
      </c>
      <c r="B65" s="35">
        <v>11775.2240227865</v>
      </c>
      <c r="C65" s="36">
        <v>9.5629785385129207</v>
      </c>
      <c r="D65" s="36">
        <v>17.437602650959899</v>
      </c>
      <c r="G65" s="23"/>
    </row>
    <row r="66" spans="1:7">
      <c r="A66" s="34">
        <v>44660.666666666664</v>
      </c>
      <c r="B66" s="35">
        <v>10890.552348958299</v>
      </c>
      <c r="C66" s="36">
        <v>9.7026600324845393</v>
      </c>
      <c r="D66" s="36">
        <v>17.4676912689212</v>
      </c>
      <c r="G66" s="23"/>
    </row>
    <row r="67" spans="1:7">
      <c r="A67" s="34">
        <v>44660.708333333336</v>
      </c>
      <c r="B67" s="35">
        <v>8544.4434915364309</v>
      </c>
      <c r="C67" s="36">
        <v>9.6648886915839807</v>
      </c>
      <c r="D67" s="36">
        <v>17.493764382256401</v>
      </c>
      <c r="G67" s="23"/>
    </row>
    <row r="68" spans="1:7">
      <c r="A68" s="34">
        <v>44660.75</v>
      </c>
      <c r="B68" s="35">
        <v>7160.07382291667</v>
      </c>
      <c r="C68" s="36">
        <v>9.2357188387973803</v>
      </c>
      <c r="D68" s="36">
        <v>17.0441756189133</v>
      </c>
      <c r="G68" s="23"/>
    </row>
    <row r="69" spans="1:7">
      <c r="A69" s="34">
        <v>44660.791666666664</v>
      </c>
      <c r="B69" s="35">
        <v>8863.6106195746506</v>
      </c>
      <c r="C69" s="36">
        <v>8.8527917330007799</v>
      </c>
      <c r="D69" s="36">
        <v>16.749549620310699</v>
      </c>
      <c r="G69" s="23"/>
    </row>
    <row r="70" spans="1:7">
      <c r="A70" s="34">
        <v>44660.833333333336</v>
      </c>
      <c r="B70" s="35">
        <v>7533.0607194010399</v>
      </c>
      <c r="C70" s="36">
        <v>8.7373491761950408</v>
      </c>
      <c r="D70" s="36">
        <v>16.750775224897499</v>
      </c>
      <c r="G70" s="23"/>
    </row>
    <row r="71" spans="1:7">
      <c r="A71" s="34">
        <v>44660.875</v>
      </c>
      <c r="B71" s="35">
        <v>7150.9423648003503</v>
      </c>
      <c r="C71" s="36">
        <v>8.4638419780726206</v>
      </c>
      <c r="D71" s="36">
        <v>16.568038468254901</v>
      </c>
      <c r="G71" s="23"/>
    </row>
    <row r="72" spans="1:7">
      <c r="A72" s="34">
        <v>44660.916666666664</v>
      </c>
      <c r="B72" s="35">
        <v>7915.3132682291698</v>
      </c>
      <c r="C72" s="36">
        <v>8.41504903199891</v>
      </c>
      <c r="D72" s="36">
        <v>16.522730081346602</v>
      </c>
      <c r="G72" s="23"/>
    </row>
    <row r="73" spans="1:7">
      <c r="A73" s="34">
        <v>44660.958333333336</v>
      </c>
      <c r="B73" s="35">
        <v>7485.3563713107596</v>
      </c>
      <c r="C73" s="36">
        <v>8.2000644609668107</v>
      </c>
      <c r="D73" s="36">
        <v>16.4550208761428</v>
      </c>
      <c r="G73" s="23"/>
    </row>
    <row r="74" spans="1:7">
      <c r="A74" s="34">
        <v>44661</v>
      </c>
      <c r="B74" s="35">
        <v>6608.7461047092102</v>
      </c>
      <c r="C74" s="36">
        <v>7.9567194989522303</v>
      </c>
      <c r="D74" s="36">
        <v>16.4257871407404</v>
      </c>
      <c r="G74" s="23"/>
    </row>
    <row r="75" spans="1:7">
      <c r="A75" s="34">
        <v>44661.041666666664</v>
      </c>
      <c r="B75" s="35">
        <v>8082.3982120225901</v>
      </c>
      <c r="C75" s="36">
        <v>7.9099998474121103</v>
      </c>
      <c r="D75" s="36">
        <v>16.385054735819502</v>
      </c>
      <c r="G75" s="23"/>
    </row>
    <row r="76" spans="1:7">
      <c r="A76" s="34">
        <v>44661.083333333336</v>
      </c>
      <c r="B76" s="35">
        <v>9161.6035351562405</v>
      </c>
      <c r="C76" s="36">
        <v>7.8692081141998997</v>
      </c>
      <c r="D76" s="36">
        <v>16.555214362250702</v>
      </c>
      <c r="G76" s="23"/>
    </row>
    <row r="77" spans="1:7">
      <c r="A77" s="34">
        <v>44661.125</v>
      </c>
      <c r="B77" s="35">
        <v>8657.3704058159692</v>
      </c>
      <c r="C77" s="36">
        <v>7.7479856452934701</v>
      </c>
      <c r="D77" s="36">
        <v>16.815333078172699</v>
      </c>
      <c r="G77" s="23"/>
    </row>
    <row r="78" spans="1:7">
      <c r="A78" s="34">
        <v>44661.166666666664</v>
      </c>
      <c r="B78" s="35">
        <v>7950.1924442274203</v>
      </c>
      <c r="C78" s="36">
        <v>7.5645205008190901</v>
      </c>
      <c r="D78" s="36">
        <v>17.036117701636499</v>
      </c>
      <c r="G78" s="23"/>
    </row>
    <row r="79" spans="1:7">
      <c r="A79" s="34">
        <v>44661.208333333336</v>
      </c>
      <c r="B79" s="35">
        <v>7553.6815770399298</v>
      </c>
      <c r="C79" s="36">
        <v>7.4700004577641401</v>
      </c>
      <c r="D79" s="36">
        <v>16.9699636014298</v>
      </c>
      <c r="G79" s="23"/>
    </row>
    <row r="80" spans="1:7">
      <c r="A80" s="34">
        <v>44661.25</v>
      </c>
      <c r="B80" s="35">
        <v>7423.5060505642296</v>
      </c>
      <c r="C80" s="36">
        <v>7.3830044920183804</v>
      </c>
      <c r="D80" s="36">
        <v>16.834118427700801</v>
      </c>
      <c r="G80" s="23"/>
    </row>
    <row r="81" spans="1:7">
      <c r="A81" s="34">
        <v>44661.291666666664</v>
      </c>
      <c r="B81" s="35">
        <v>8515.6958919270692</v>
      </c>
      <c r="C81" s="36">
        <v>7.3655303575734798</v>
      </c>
      <c r="D81" s="36">
        <v>16.730990129682802</v>
      </c>
      <c r="G81" s="23"/>
    </row>
    <row r="82" spans="1:7">
      <c r="A82" s="34">
        <v>44661.333333333336</v>
      </c>
      <c r="B82" s="35">
        <v>8049.0215957031196</v>
      </c>
      <c r="C82" s="36">
        <v>7.7298744040594496</v>
      </c>
      <c r="D82" s="36">
        <v>16.7126765412225</v>
      </c>
      <c r="G82" s="23"/>
    </row>
    <row r="83" spans="1:7">
      <c r="A83" s="34">
        <v>44661.375</v>
      </c>
      <c r="B83" s="35">
        <v>8757.8693927951408</v>
      </c>
      <c r="C83" s="36">
        <v>8.2967165122562605</v>
      </c>
      <c r="D83" s="36">
        <v>16.7002926233077</v>
      </c>
      <c r="G83" s="23"/>
    </row>
    <row r="84" spans="1:7">
      <c r="A84" s="34">
        <v>44661.416666666664</v>
      </c>
      <c r="B84" s="35">
        <v>8539.82293923611</v>
      </c>
      <c r="C84" s="36">
        <v>8.6869789509242104</v>
      </c>
      <c r="D84" s="36">
        <v>16.8042277251344</v>
      </c>
      <c r="G84" s="23"/>
    </row>
    <row r="85" spans="1:7">
      <c r="A85" s="34">
        <v>44661.458333333336</v>
      </c>
      <c r="B85" s="35">
        <v>9182.6310533854194</v>
      </c>
      <c r="C85" s="36">
        <v>8.8820990380181595</v>
      </c>
      <c r="D85" s="36">
        <v>16.8219632114833</v>
      </c>
      <c r="G85" s="23"/>
    </row>
    <row r="86" spans="1:7">
      <c r="A86" s="34">
        <v>44661.5</v>
      </c>
      <c r="B86" s="35">
        <v>9756.2823109809196</v>
      </c>
      <c r="C86" s="36">
        <v>9.3836696024999604</v>
      </c>
      <c r="D86" s="36">
        <v>17.032116929795901</v>
      </c>
      <c r="G86" s="23"/>
    </row>
    <row r="87" spans="1:7">
      <c r="A87" s="34">
        <v>44661.541666666664</v>
      </c>
      <c r="B87" s="35">
        <v>9446.0475323350693</v>
      </c>
      <c r="C87" s="36">
        <v>9.8588879941299208</v>
      </c>
      <c r="D87" s="36">
        <v>17.088080263773701</v>
      </c>
      <c r="G87" s="23"/>
    </row>
    <row r="88" spans="1:7">
      <c r="A88" s="34">
        <v>44661.583333333336</v>
      </c>
      <c r="B88" s="35">
        <v>9780.0387771267306</v>
      </c>
      <c r="C88" s="36">
        <v>10.173053622563501</v>
      </c>
      <c r="D88" s="36">
        <v>17.058605058033798</v>
      </c>
      <c r="G88" s="23"/>
    </row>
    <row r="89" spans="1:7">
      <c r="A89" s="34">
        <v>44661.625</v>
      </c>
      <c r="B89" s="35">
        <v>9471.0504121093709</v>
      </c>
      <c r="C89" s="36">
        <v>10.276997485902401</v>
      </c>
      <c r="D89" s="36">
        <v>17.032531411912899</v>
      </c>
      <c r="G89" s="23"/>
    </row>
    <row r="90" spans="1:7">
      <c r="A90" s="34">
        <v>44661.666666666664</v>
      </c>
      <c r="B90" s="35">
        <v>9403.3380483941091</v>
      </c>
      <c r="C90" s="36">
        <v>10.1190682144164</v>
      </c>
      <c r="D90" s="36">
        <v>16.8708891703292</v>
      </c>
      <c r="G90" s="23"/>
    </row>
    <row r="91" spans="1:7">
      <c r="A91" s="34">
        <v>44661.708333333336</v>
      </c>
      <c r="B91" s="35">
        <v>9632.3904607204895</v>
      </c>
      <c r="C91" s="36">
        <v>10.326671205096501</v>
      </c>
      <c r="D91" s="36">
        <v>17.028995902167299</v>
      </c>
      <c r="G91" s="23"/>
    </row>
    <row r="92" spans="1:7">
      <c r="A92" s="34">
        <v>44661.75</v>
      </c>
      <c r="B92" s="35">
        <v>9361.4291532117895</v>
      </c>
      <c r="C92" s="36">
        <v>10.0269538680182</v>
      </c>
      <c r="D92" s="36">
        <v>17.1601425764296</v>
      </c>
      <c r="G92" s="23"/>
    </row>
    <row r="93" spans="1:7">
      <c r="A93" s="34">
        <v>44661.791666666664</v>
      </c>
      <c r="B93" s="35">
        <v>9032.61622374133</v>
      </c>
      <c r="C93" s="36">
        <v>9.7744961013784604</v>
      </c>
      <c r="D93" s="36">
        <v>17.021652322980799</v>
      </c>
      <c r="G93" s="23"/>
    </row>
    <row r="94" spans="1:7">
      <c r="A94" s="34">
        <v>44661.833333333336</v>
      </c>
      <c r="B94" s="35">
        <v>9695.3378396267108</v>
      </c>
      <c r="C94" s="36">
        <v>9.4367973586190708</v>
      </c>
      <c r="D94" s="36">
        <v>16.879868362426301</v>
      </c>
      <c r="G94" s="23"/>
    </row>
    <row r="95" spans="1:7">
      <c r="A95" s="34">
        <v>44661.875</v>
      </c>
      <c r="B95" s="35">
        <v>9349.5668539496492</v>
      </c>
      <c r="C95" s="36">
        <v>9.1856944516494998</v>
      </c>
      <c r="D95" s="36">
        <v>16.727756122589199</v>
      </c>
      <c r="G95" s="23"/>
    </row>
    <row r="96" spans="1:7">
      <c r="A96" s="34">
        <v>44661.916666666664</v>
      </c>
      <c r="B96" s="35">
        <v>9957.9841800678005</v>
      </c>
      <c r="C96" s="36">
        <v>8.9781076383514797</v>
      </c>
      <c r="D96" s="36">
        <v>16.8098155327882</v>
      </c>
      <c r="G96" s="23"/>
    </row>
    <row r="97" spans="1:7">
      <c r="A97" s="34">
        <v>44661.958333333336</v>
      </c>
      <c r="B97" s="35">
        <v>9892.1737799479306</v>
      </c>
      <c r="C97" s="36">
        <v>8.7532112445833192</v>
      </c>
      <c r="D97" s="36">
        <v>16.940102417840102</v>
      </c>
      <c r="G97" s="23"/>
    </row>
    <row r="98" spans="1:7">
      <c r="A98" s="34">
        <v>44662</v>
      </c>
      <c r="B98" s="35">
        <v>10231.223781684001</v>
      </c>
      <c r="C98" s="36">
        <v>8.5696412457354896</v>
      </c>
      <c r="D98" s="36">
        <v>17.009865168253501</v>
      </c>
      <c r="G98" s="23"/>
    </row>
    <row r="99" spans="1:7">
      <c r="A99" s="34">
        <v>44662.041666666664</v>
      </c>
      <c r="B99" s="35">
        <v>10366.503823978899</v>
      </c>
      <c r="C99" s="36">
        <v>8.3601141384553905</v>
      </c>
      <c r="D99" s="36">
        <v>16.9073170985471</v>
      </c>
      <c r="G99" s="23"/>
    </row>
    <row r="100" spans="1:7">
      <c r="A100" s="34">
        <v>44662.083333333336</v>
      </c>
      <c r="B100" s="35">
        <v>10635.2618726129</v>
      </c>
      <c r="C100" s="36">
        <v>8.2122409771818194</v>
      </c>
      <c r="D100" s="36">
        <v>17.057171475728399</v>
      </c>
      <c r="G100" s="23"/>
    </row>
    <row r="101" spans="1:7">
      <c r="A101" s="34">
        <v>44662.125</v>
      </c>
      <c r="B101" s="35">
        <v>7055.1686757812504</v>
      </c>
      <c r="C101" s="36">
        <v>7.9541903186372398</v>
      </c>
      <c r="D101" s="36">
        <v>17.380406761169699</v>
      </c>
      <c r="G101" s="23"/>
    </row>
    <row r="102" spans="1:7">
      <c r="A102" s="34">
        <v>44662.166666666664</v>
      </c>
      <c r="B102" s="35">
        <v>6319.3488560112901</v>
      </c>
      <c r="C102" s="36">
        <v>7.86645832210157</v>
      </c>
      <c r="D102" s="36">
        <v>17.3726321898565</v>
      </c>
      <c r="G102" s="23"/>
    </row>
    <row r="103" spans="1:7">
      <c r="A103" s="34">
        <v>44662.208333333336</v>
      </c>
      <c r="B103" s="35">
        <v>6176.5349416232602</v>
      </c>
      <c r="C103" s="36">
        <v>7.9092962832985396</v>
      </c>
      <c r="D103" s="36">
        <v>17.341288761138902</v>
      </c>
      <c r="G103" s="23"/>
    </row>
    <row r="104" spans="1:7">
      <c r="A104" s="34">
        <v>44662.25</v>
      </c>
      <c r="B104" s="35">
        <v>3596.12280230035</v>
      </c>
      <c r="C104" s="36">
        <v>7.3352968315545697</v>
      </c>
      <c r="D104" s="36">
        <v>17.091187625884899</v>
      </c>
      <c r="G104" s="23"/>
    </row>
    <row r="105" spans="1:7">
      <c r="A105" s="34">
        <v>44662.291666666664</v>
      </c>
      <c r="B105" s="35">
        <v>6324.6085893012096</v>
      </c>
      <c r="C105" s="36">
        <v>7.8475316975910303</v>
      </c>
      <c r="D105" s="36">
        <v>16.906345924377199</v>
      </c>
      <c r="G105" s="23"/>
    </row>
    <row r="106" spans="1:7">
      <c r="A106" s="34">
        <v>44662.333333333336</v>
      </c>
      <c r="B106" s="35">
        <v>6444.19576193577</v>
      </c>
      <c r="C106" s="36">
        <v>8.4620708955129196</v>
      </c>
      <c r="D106" s="36">
        <v>17.051312397851198</v>
      </c>
      <c r="G106" s="23"/>
    </row>
    <row r="107" spans="1:7">
      <c r="A107" s="34">
        <v>44662.375</v>
      </c>
      <c r="B107" s="35">
        <v>4699.6412290581602</v>
      </c>
      <c r="C107" s="36">
        <v>9.4363739363352099</v>
      </c>
      <c r="D107" s="36">
        <v>17.407021129607699</v>
      </c>
      <c r="G107" s="23"/>
    </row>
    <row r="108" spans="1:7">
      <c r="A108" s="34">
        <v>44662.416666666664</v>
      </c>
      <c r="B108" s="35">
        <v>3396.05779584418</v>
      </c>
      <c r="C108" s="36">
        <v>10.933957879172199</v>
      </c>
      <c r="D108" s="36">
        <v>17.391068057165999</v>
      </c>
      <c r="G108" s="23"/>
    </row>
    <row r="109" spans="1:7">
      <c r="A109" s="34">
        <v>44662.458333333336</v>
      </c>
      <c r="B109" s="35">
        <v>3424.4138124999999</v>
      </c>
      <c r="C109" s="36">
        <v>11.760830159292899</v>
      </c>
      <c r="D109" s="36">
        <v>17.240648488362702</v>
      </c>
      <c r="G109" s="23"/>
    </row>
    <row r="110" spans="1:7">
      <c r="A110" s="34">
        <v>44662.5</v>
      </c>
      <c r="B110" s="35">
        <v>3701.6534731987899</v>
      </c>
      <c r="C110" s="36">
        <v>12.467980388853499</v>
      </c>
      <c r="D110" s="36">
        <v>17.009574194590201</v>
      </c>
      <c r="G110" s="23"/>
    </row>
    <row r="111" spans="1:7">
      <c r="A111" s="34">
        <v>44662.541666666664</v>
      </c>
      <c r="B111" s="35">
        <v>5469.4813989800296</v>
      </c>
      <c r="C111" s="36">
        <v>11.847416575749699</v>
      </c>
      <c r="D111" s="36">
        <v>17.031810919867599</v>
      </c>
      <c r="G111" s="23"/>
    </row>
    <row r="112" spans="1:7">
      <c r="A112" s="34">
        <v>44662.583333333336</v>
      </c>
      <c r="B112" s="35">
        <v>4772.5822195095498</v>
      </c>
      <c r="C112" s="36">
        <v>11.977008915582701</v>
      </c>
      <c r="D112" s="36">
        <v>17.176032703399901</v>
      </c>
      <c r="G112" s="23"/>
    </row>
    <row r="113" spans="1:7">
      <c r="A113" s="34">
        <v>44662.625</v>
      </c>
      <c r="B113" s="35">
        <v>4064.9138416341202</v>
      </c>
      <c r="C113" s="36">
        <v>12.497674736658</v>
      </c>
      <c r="D113" s="36">
        <v>16.779801940918201</v>
      </c>
      <c r="G113" s="23"/>
    </row>
    <row r="114" spans="1:7">
      <c r="A114" s="34">
        <v>44662.666666666664</v>
      </c>
      <c r="B114" s="35">
        <v>5529.0172870008701</v>
      </c>
      <c r="C114" s="36">
        <v>11.554491583718301</v>
      </c>
      <c r="D114" s="36">
        <v>16.508317067464102</v>
      </c>
      <c r="G114" s="23"/>
    </row>
    <row r="115" spans="1:7">
      <c r="A115" s="34">
        <v>44662.708333333336</v>
      </c>
      <c r="B115" s="35">
        <v>6005.3270795355802</v>
      </c>
      <c r="C115" s="36">
        <v>10.819424108292401</v>
      </c>
      <c r="D115" s="36">
        <v>16.437514489068299</v>
      </c>
      <c r="G115" s="23"/>
    </row>
    <row r="116" spans="1:7">
      <c r="A116" s="34">
        <v>44662.75</v>
      </c>
      <c r="B116" s="35">
        <v>5648.7936889105904</v>
      </c>
      <c r="C116" s="36">
        <v>10.5425834558279</v>
      </c>
      <c r="D116" s="36">
        <v>16.5131106957333</v>
      </c>
      <c r="G116" s="23"/>
    </row>
    <row r="117" spans="1:7">
      <c r="A117" s="34">
        <v>44662.791666666664</v>
      </c>
      <c r="B117" s="35">
        <v>5117.9771515842003</v>
      </c>
      <c r="C117" s="36">
        <v>10.0516475950878</v>
      </c>
      <c r="D117" s="36">
        <v>16.708730550977901</v>
      </c>
      <c r="G117" s="23"/>
    </row>
    <row r="118" spans="1:7">
      <c r="A118" s="34">
        <v>44662.833333333336</v>
      </c>
      <c r="B118" s="35">
        <v>4719.1543217230901</v>
      </c>
      <c r="C118" s="36">
        <v>9.6408786856331705</v>
      </c>
      <c r="D118" s="36">
        <v>17.211881521436801</v>
      </c>
      <c r="G118" s="23"/>
    </row>
    <row r="119" spans="1:7">
      <c r="A119" s="34">
        <v>44662.875</v>
      </c>
      <c r="B119" s="35">
        <v>3317.34134776476</v>
      </c>
      <c r="C119" s="36">
        <v>9.3503693146174296</v>
      </c>
      <c r="D119" s="36">
        <v>17.5093544582794</v>
      </c>
      <c r="G119" s="23"/>
    </row>
    <row r="120" spans="1:7">
      <c r="A120" s="34">
        <v>44662.916666666664</v>
      </c>
      <c r="B120" s="35">
        <v>3329.9482999132001</v>
      </c>
      <c r="C120" s="36">
        <v>9.0764859116873406</v>
      </c>
      <c r="D120" s="36">
        <v>17.683942305670801</v>
      </c>
      <c r="G120" s="23"/>
    </row>
    <row r="121" spans="1:7">
      <c r="A121" s="34">
        <v>44662.958333333336</v>
      </c>
      <c r="B121" s="35">
        <v>1253.4271182590101</v>
      </c>
      <c r="C121" s="36">
        <v>8.4487552729714093</v>
      </c>
      <c r="D121" s="36">
        <v>17.434543397691701</v>
      </c>
      <c r="G121" s="23"/>
    </row>
    <row r="122" spans="1:7">
      <c r="A122" s="34">
        <v>44663</v>
      </c>
      <c r="B122" s="35">
        <v>1575.9281157226601</v>
      </c>
      <c r="C122" s="36">
        <v>8.4314391382010605</v>
      </c>
      <c r="D122" s="36">
        <v>17.114826997121</v>
      </c>
      <c r="G122" s="23"/>
    </row>
    <row r="123" spans="1:7">
      <c r="A123" s="34">
        <v>44663.041666666664</v>
      </c>
      <c r="B123" s="35">
        <v>4121.9002222222198</v>
      </c>
      <c r="C123" s="36">
        <v>8.6840414583413104</v>
      </c>
      <c r="D123" s="36">
        <v>17.108610809749699</v>
      </c>
      <c r="G123" s="23"/>
    </row>
    <row r="124" spans="1:7">
      <c r="A124" s="34">
        <v>44663.083333333336</v>
      </c>
      <c r="B124" s="35">
        <v>3668.5728551974798</v>
      </c>
      <c r="C124" s="36">
        <v>8.6127702719373804</v>
      </c>
      <c r="D124" s="36">
        <v>17.261780366262201</v>
      </c>
      <c r="G124" s="23"/>
    </row>
    <row r="125" spans="1:7">
      <c r="A125" s="34">
        <v>44663.125</v>
      </c>
      <c r="B125" s="35">
        <v>2774.24143538412</v>
      </c>
      <c r="C125" s="36">
        <v>8.3663405096265802</v>
      </c>
      <c r="D125" s="36">
        <v>17.271099229600601</v>
      </c>
      <c r="G125" s="23"/>
    </row>
    <row r="126" spans="1:7">
      <c r="A126" s="34">
        <v>44663.166666666664</v>
      </c>
      <c r="B126" s="35">
        <v>2484.3970438910601</v>
      </c>
      <c r="C126" s="36">
        <v>8.1376187669959297</v>
      </c>
      <c r="D126" s="36">
        <v>17.213152737511798</v>
      </c>
      <c r="G126" s="23"/>
    </row>
    <row r="127" spans="1:7">
      <c r="A127" s="34">
        <v>44663.208333333336</v>
      </c>
      <c r="B127" s="35">
        <v>2719.0595061306499</v>
      </c>
      <c r="C127" s="36">
        <v>8.1548656325870805</v>
      </c>
      <c r="D127" s="36">
        <v>17.0875108532376</v>
      </c>
      <c r="G127" s="23"/>
    </row>
    <row r="128" spans="1:7">
      <c r="A128" s="34">
        <v>44663.25</v>
      </c>
      <c r="B128" s="35">
        <v>3720.9030932617102</v>
      </c>
      <c r="C128" s="36">
        <v>8.3599998474126007</v>
      </c>
      <c r="D128" s="36">
        <v>17.225520193311901</v>
      </c>
      <c r="G128" s="23"/>
    </row>
    <row r="129" spans="1:7">
      <c r="A129" s="34">
        <v>44663.291666666664</v>
      </c>
      <c r="B129" s="35">
        <v>2620.54070556641</v>
      </c>
      <c r="C129" s="36">
        <v>8.3488273063236704</v>
      </c>
      <c r="D129" s="36">
        <v>17.318837852478001</v>
      </c>
      <c r="G129" s="23"/>
    </row>
    <row r="130" spans="1:7">
      <c r="A130" s="34">
        <v>44663.333333333336</v>
      </c>
      <c r="B130" s="35">
        <v>2521.0050855034701</v>
      </c>
      <c r="C130" s="36">
        <v>9.2604143524170208</v>
      </c>
      <c r="D130" s="36">
        <v>17.435905195872198</v>
      </c>
      <c r="G130" s="23"/>
    </row>
    <row r="131" spans="1:7">
      <c r="A131" s="34">
        <v>44663.375</v>
      </c>
      <c r="B131" s="35">
        <v>1977.9291250271201</v>
      </c>
      <c r="C131" s="36">
        <v>11.228852052264701</v>
      </c>
      <c r="D131" s="36">
        <v>17.380109796735901</v>
      </c>
      <c r="G131" s="23"/>
    </row>
    <row r="132" spans="1:7">
      <c r="A132" s="34">
        <v>44663.416666666664</v>
      </c>
      <c r="B132" s="35">
        <v>2740.83571354167</v>
      </c>
      <c r="C132" s="36">
        <v>12.558916174146701</v>
      </c>
      <c r="D132" s="36">
        <v>17.524637226952901</v>
      </c>
      <c r="G132" s="23"/>
    </row>
    <row r="133" spans="1:7">
      <c r="A133" s="34">
        <v>44663.458333333336</v>
      </c>
      <c r="B133" s="35">
        <v>1232.05155087619</v>
      </c>
      <c r="C133" s="36">
        <v>17.281782470279399</v>
      </c>
      <c r="D133" s="36">
        <v>17.581575918833501</v>
      </c>
      <c r="G133" s="23"/>
    </row>
    <row r="134" spans="1:7">
      <c r="A134" s="34">
        <v>44663.5</v>
      </c>
      <c r="B134" s="35">
        <v>1043.4802522786499</v>
      </c>
      <c r="C134" s="36">
        <v>21.409667906019202</v>
      </c>
      <c r="D134" s="36">
        <v>17.507159030066699</v>
      </c>
      <c r="G134" s="23"/>
    </row>
    <row r="135" spans="1:7">
      <c r="A135" s="34">
        <v>44663.541666666664</v>
      </c>
      <c r="B135" s="35">
        <v>1084.2444470079199</v>
      </c>
      <c r="C135" s="36">
        <v>22.6466027429368</v>
      </c>
      <c r="D135" s="36">
        <v>17.428817399343</v>
      </c>
      <c r="G135" s="23"/>
    </row>
    <row r="136" spans="1:7">
      <c r="A136" s="34">
        <v>44663.583333333336</v>
      </c>
      <c r="B136" s="35">
        <v>1937.46044330512</v>
      </c>
      <c r="C136" s="36">
        <v>18.698207941267398</v>
      </c>
      <c r="D136" s="36">
        <v>17.428338266161099</v>
      </c>
      <c r="G136" s="23"/>
    </row>
    <row r="137" spans="1:7">
      <c r="A137" s="34">
        <v>44663.625</v>
      </c>
      <c r="B137" s="35">
        <v>1970.0024340277801</v>
      </c>
      <c r="C137" s="36">
        <v>17.428404625786801</v>
      </c>
      <c r="D137" s="36">
        <v>17.511479029761201</v>
      </c>
      <c r="G137" s="23"/>
    </row>
    <row r="138" spans="1:7">
      <c r="A138" s="34">
        <v>44663.666666666664</v>
      </c>
      <c r="B138" s="35">
        <v>1828.96002819199</v>
      </c>
      <c r="C138" s="36">
        <v>16.926138156467101</v>
      </c>
      <c r="D138" s="36">
        <v>17.793480518764898</v>
      </c>
      <c r="G138" s="23"/>
    </row>
    <row r="139" spans="1:7">
      <c r="A139" s="34">
        <v>44663.708333333336</v>
      </c>
      <c r="B139" s="35">
        <v>3.4694469519536099E-17</v>
      </c>
      <c r="C139" s="36">
        <v>24.897894303217601</v>
      </c>
      <c r="D139" s="36">
        <v>17.5780320841472</v>
      </c>
      <c r="G139" s="23"/>
    </row>
    <row r="140" spans="1:7">
      <c r="A140" s="34">
        <v>44663.75</v>
      </c>
      <c r="B140" s="35">
        <v>69.107482588874007</v>
      </c>
      <c r="C140" s="36">
        <v>24.8215717018977</v>
      </c>
      <c r="D140" s="36">
        <v>17.169316276974101</v>
      </c>
      <c r="G140" s="23"/>
    </row>
    <row r="141" spans="1:7">
      <c r="A141" s="34">
        <v>44663.791666666664</v>
      </c>
      <c r="B141" s="35">
        <v>586.86697823079396</v>
      </c>
      <c r="C141" s="36">
        <v>19.106409901936601</v>
      </c>
      <c r="D141" s="36">
        <v>16.813858891805499</v>
      </c>
      <c r="G141" s="23"/>
    </row>
    <row r="142" spans="1:7">
      <c r="A142" s="34">
        <v>44663.833333333336</v>
      </c>
      <c r="B142" s="35">
        <v>855.63254031711006</v>
      </c>
      <c r="C142" s="36">
        <v>14.3416785693704</v>
      </c>
      <c r="D142" s="36">
        <v>16.857659960852601</v>
      </c>
      <c r="G142" s="23"/>
    </row>
    <row r="143" spans="1:7">
      <c r="A143" s="34">
        <v>44663.875</v>
      </c>
      <c r="B143" s="35">
        <v>668.32446500990204</v>
      </c>
      <c r="C143" s="36">
        <v>12.4841312783565</v>
      </c>
      <c r="D143" s="36">
        <v>17.209646190643301</v>
      </c>
      <c r="G143" s="23"/>
    </row>
    <row r="144" spans="1:7">
      <c r="A144" s="34">
        <v>44663.916666666664</v>
      </c>
      <c r="B144" s="35">
        <v>861.08829139539898</v>
      </c>
      <c r="C144" s="36">
        <v>11.4013322452978</v>
      </c>
      <c r="D144" s="36">
        <v>17.523053481207999</v>
      </c>
      <c r="G144" s="23"/>
    </row>
    <row r="145" spans="1:7">
      <c r="A145" s="34">
        <v>44663.958333333336</v>
      </c>
      <c r="B145" s="35">
        <v>257.23775120707802</v>
      </c>
      <c r="C145" s="36">
        <v>12.553833376354399</v>
      </c>
      <c r="D145" s="36">
        <v>17.958474040137499</v>
      </c>
      <c r="G145" s="23"/>
    </row>
    <row r="146" spans="1:7">
      <c r="A146" s="34"/>
      <c r="B146" s="35"/>
      <c r="C146" s="36"/>
      <c r="D146" s="36"/>
      <c r="G146" s="23"/>
    </row>
    <row r="147" spans="1:7">
      <c r="A147" s="34"/>
      <c r="B147" s="35"/>
      <c r="C147" s="36"/>
      <c r="D147" s="36"/>
      <c r="G147" s="23"/>
    </row>
    <row r="148" spans="1:7">
      <c r="A148" s="34"/>
      <c r="B148" s="35"/>
      <c r="C148" s="36"/>
      <c r="D148" s="36"/>
      <c r="G148" s="23"/>
    </row>
    <row r="149" spans="1:7">
      <c r="A149" s="34"/>
      <c r="B149" s="35"/>
      <c r="C149" s="36"/>
      <c r="D149" s="36"/>
      <c r="G149" s="23"/>
    </row>
    <row r="150" spans="1:7">
      <c r="A150" s="34"/>
      <c r="B150" s="35"/>
      <c r="C150" s="36"/>
      <c r="D150" s="36"/>
      <c r="G150" s="23"/>
    </row>
    <row r="151" spans="1:7">
      <c r="A151" s="34"/>
      <c r="B151" s="35"/>
      <c r="C151" s="36"/>
      <c r="D151" s="36"/>
      <c r="G151" s="23"/>
    </row>
    <row r="152" spans="1:7">
      <c r="A152" s="34"/>
      <c r="B152" s="35"/>
      <c r="C152" s="36"/>
      <c r="D152" s="36"/>
      <c r="G152" s="23"/>
    </row>
    <row r="153" spans="1:7">
      <c r="A153" s="34"/>
      <c r="B153" s="35"/>
      <c r="C153" s="36"/>
      <c r="D153" s="36"/>
      <c r="G153" s="23"/>
    </row>
    <row r="154" spans="1:7">
      <c r="A154" s="34"/>
      <c r="B154" s="35"/>
      <c r="C154" s="36"/>
      <c r="D154" s="36"/>
      <c r="G154" s="23"/>
    </row>
    <row r="155" spans="1:7">
      <c r="A155" s="34"/>
      <c r="B155" s="35"/>
      <c r="C155" s="36"/>
      <c r="D155" s="36"/>
      <c r="G155" s="23"/>
    </row>
    <row r="156" spans="1:7">
      <c r="A156" s="34"/>
      <c r="B156" s="35"/>
      <c r="C156" s="36"/>
      <c r="D156" s="36"/>
      <c r="G156" s="23"/>
    </row>
    <row r="157" spans="1:7">
      <c r="A157" s="34"/>
      <c r="B157" s="35"/>
      <c r="C157" s="36"/>
      <c r="D157" s="36"/>
      <c r="G157" s="23"/>
    </row>
    <row r="158" spans="1:7">
      <c r="A158" s="34"/>
      <c r="B158" s="35"/>
      <c r="C158" s="36"/>
      <c r="D158" s="36"/>
      <c r="G158" s="23"/>
    </row>
    <row r="159" spans="1:7">
      <c r="A159" s="34"/>
      <c r="B159" s="35"/>
      <c r="C159" s="36"/>
      <c r="D159" s="36"/>
      <c r="G159" s="23"/>
    </row>
    <row r="160" spans="1:7">
      <c r="A160" s="34"/>
      <c r="B160" s="35"/>
      <c r="C160" s="36"/>
      <c r="D160" s="36"/>
      <c r="G160" s="23"/>
    </row>
    <row r="161" spans="1:7">
      <c r="A161" s="34"/>
      <c r="B161" s="35"/>
      <c r="C161" s="36"/>
      <c r="D161" s="36"/>
      <c r="G161" s="23"/>
    </row>
    <row r="162" spans="1:7">
      <c r="A162" s="34"/>
      <c r="B162" s="35"/>
      <c r="C162" s="36"/>
      <c r="D162" s="36"/>
      <c r="G162" s="23"/>
    </row>
    <row r="163" spans="1:7">
      <c r="A163" s="34"/>
      <c r="B163" s="35"/>
      <c r="C163" s="36"/>
      <c r="D163" s="36"/>
      <c r="G163" s="23"/>
    </row>
    <row r="164" spans="1:7">
      <c r="A164" s="34"/>
      <c r="B164" s="35"/>
      <c r="C164" s="36"/>
      <c r="D164" s="36"/>
      <c r="G164" s="23"/>
    </row>
    <row r="165" spans="1:7">
      <c r="A165" s="34"/>
      <c r="B165" s="35"/>
      <c r="C165" s="36"/>
      <c r="D165" s="36"/>
      <c r="G165" s="23"/>
    </row>
    <row r="166" spans="1:7">
      <c r="A166" s="34"/>
      <c r="B166" s="35"/>
      <c r="C166" s="36"/>
      <c r="D166" s="36"/>
      <c r="G166" s="23"/>
    </row>
    <row r="167" spans="1:7">
      <c r="A167" s="34"/>
      <c r="B167" s="35"/>
      <c r="C167" s="36"/>
      <c r="D167" s="36"/>
      <c r="G167" s="23"/>
    </row>
    <row r="168" spans="1:7">
      <c r="A168" s="34"/>
      <c r="B168" s="35"/>
      <c r="C168" s="36"/>
      <c r="D168" s="36"/>
      <c r="G168" s="23"/>
    </row>
    <row r="169" spans="1:7">
      <c r="A169" s="34"/>
      <c r="B169" s="35"/>
      <c r="C169" s="36"/>
      <c r="D169" s="36"/>
      <c r="G169" s="23"/>
    </row>
    <row r="170" spans="1:7">
      <c r="A170" s="34"/>
      <c r="B170" s="35"/>
      <c r="C170" s="36"/>
      <c r="D170" s="36"/>
      <c r="G170" s="23"/>
    </row>
    <row r="171" spans="1:7">
      <c r="A171" s="34"/>
      <c r="B171" s="35"/>
      <c r="C171" s="36"/>
      <c r="D171" s="36"/>
      <c r="G171" s="23"/>
    </row>
    <row r="172" spans="1:7">
      <c r="A172" s="34"/>
      <c r="B172" s="35"/>
      <c r="C172" s="36"/>
      <c r="D172" s="36"/>
      <c r="G172" s="23"/>
    </row>
    <row r="173" spans="1:7">
      <c r="A173" s="34"/>
      <c r="B173" s="35"/>
      <c r="C173" s="36"/>
      <c r="D173" s="36"/>
      <c r="G173" s="23"/>
    </row>
    <row r="174" spans="1:7">
      <c r="A174" s="34"/>
      <c r="B174" s="35"/>
      <c r="C174" s="36"/>
      <c r="D174" s="36"/>
      <c r="G174" s="23"/>
    </row>
    <row r="175" spans="1:7">
      <c r="A175" s="34"/>
      <c r="B175" s="35"/>
      <c r="C175" s="36"/>
      <c r="D175" s="36"/>
      <c r="G175" s="23"/>
    </row>
    <row r="176" spans="1:7">
      <c r="A176" s="34"/>
      <c r="B176" s="35"/>
      <c r="C176" s="36"/>
      <c r="D176" s="36"/>
      <c r="G176" s="23"/>
    </row>
    <row r="177" spans="1:7">
      <c r="A177" s="34"/>
      <c r="B177" s="35"/>
      <c r="C177" s="36"/>
      <c r="D177" s="36"/>
      <c r="G177" s="23"/>
    </row>
    <row r="178" spans="1:7">
      <c r="A178" s="34"/>
      <c r="B178" s="35"/>
      <c r="C178" s="36"/>
      <c r="D178" s="36"/>
      <c r="G178" s="23"/>
    </row>
    <row r="179" spans="1:7">
      <c r="A179" s="34"/>
      <c r="B179" s="35"/>
      <c r="C179" s="36"/>
      <c r="D179" s="36"/>
      <c r="G179" s="23"/>
    </row>
    <row r="180" spans="1:7">
      <c r="A180" s="34"/>
      <c r="B180" s="35"/>
      <c r="C180" s="36"/>
      <c r="D180" s="36"/>
      <c r="G180" s="23"/>
    </row>
    <row r="181" spans="1:7">
      <c r="A181" s="34"/>
      <c r="B181" s="35"/>
      <c r="C181" s="36"/>
      <c r="D181" s="36"/>
      <c r="G181" s="23"/>
    </row>
    <row r="182" spans="1:7">
      <c r="A182" s="34"/>
      <c r="B182" s="35"/>
      <c r="C182" s="36"/>
      <c r="D182" s="36"/>
      <c r="G182" s="23"/>
    </row>
    <row r="183" spans="1:7">
      <c r="A183" s="34"/>
      <c r="B183" s="35"/>
      <c r="C183" s="36"/>
      <c r="D183" s="36"/>
      <c r="G183" s="23"/>
    </row>
    <row r="184" spans="1:7">
      <c r="A184" s="34"/>
      <c r="B184" s="35"/>
      <c r="C184" s="36"/>
      <c r="D184" s="36"/>
      <c r="G184" s="23"/>
    </row>
    <row r="185" spans="1:7">
      <c r="A185" s="34"/>
      <c r="B185" s="35"/>
      <c r="C185" s="36"/>
      <c r="D185" s="36"/>
      <c r="G185" s="23"/>
    </row>
    <row r="186" spans="1:7">
      <c r="A186" s="34"/>
      <c r="B186" s="35"/>
      <c r="C186" s="36"/>
      <c r="D186" s="36"/>
      <c r="G186" s="23"/>
    </row>
    <row r="187" spans="1:7">
      <c r="A187" s="34"/>
      <c r="B187" s="35"/>
      <c r="C187" s="36"/>
      <c r="D187" s="36"/>
      <c r="G187" s="23"/>
    </row>
    <row r="188" spans="1:7">
      <c r="A188" s="34"/>
      <c r="B188" s="35"/>
      <c r="C188" s="36"/>
      <c r="D188" s="36"/>
      <c r="G188" s="23"/>
    </row>
    <row r="189" spans="1:7">
      <c r="A189" s="34"/>
      <c r="B189" s="35"/>
      <c r="C189" s="36"/>
      <c r="D189" s="36"/>
      <c r="G189" s="23"/>
    </row>
    <row r="190" spans="1:7">
      <c r="A190" s="34"/>
      <c r="B190" s="35"/>
      <c r="C190" s="36"/>
      <c r="D190" s="36"/>
      <c r="G190" s="23"/>
    </row>
    <row r="191" spans="1:7">
      <c r="A191" s="34"/>
      <c r="B191" s="35"/>
      <c r="C191" s="36"/>
      <c r="D191" s="36"/>
      <c r="G191" s="23"/>
    </row>
    <row r="192" spans="1:7">
      <c r="A192" s="34"/>
      <c r="B192" s="35"/>
      <c r="C192" s="36"/>
      <c r="D192" s="36"/>
      <c r="G192" s="23"/>
    </row>
    <row r="193" spans="1:7">
      <c r="A193" s="34"/>
      <c r="B193" s="35"/>
      <c r="C193" s="36"/>
      <c r="D193" s="36"/>
      <c r="G193" s="23"/>
    </row>
    <row r="194" spans="1:7">
      <c r="A194" s="34"/>
      <c r="B194" s="35"/>
      <c r="C194" s="36"/>
      <c r="D194" s="36"/>
      <c r="G194" s="23"/>
    </row>
    <row r="195" spans="1:7">
      <c r="A195" s="34"/>
      <c r="B195" s="35"/>
      <c r="C195" s="36"/>
      <c r="D195" s="36"/>
      <c r="G195" s="23"/>
    </row>
    <row r="196" spans="1:7">
      <c r="A196" s="34"/>
      <c r="B196" s="35"/>
      <c r="C196" s="36"/>
      <c r="D196" s="36"/>
      <c r="G196" s="23"/>
    </row>
    <row r="197" spans="1:7">
      <c r="A197" s="34"/>
      <c r="B197" s="35"/>
      <c r="C197" s="36"/>
      <c r="D197" s="36"/>
      <c r="G197" s="23"/>
    </row>
    <row r="198" spans="1:7">
      <c r="A198" s="34"/>
      <c r="B198" s="35"/>
      <c r="C198" s="36"/>
      <c r="D198" s="36"/>
      <c r="G198" s="23"/>
    </row>
    <row r="199" spans="1:7">
      <c r="A199" s="34"/>
      <c r="B199" s="35"/>
      <c r="C199" s="36"/>
      <c r="D199" s="36"/>
      <c r="G199" s="23"/>
    </row>
    <row r="200" spans="1:7">
      <c r="A200" s="34"/>
      <c r="B200" s="35"/>
      <c r="C200" s="36"/>
      <c r="D200" s="36"/>
      <c r="G200" s="23"/>
    </row>
    <row r="201" spans="1:7">
      <c r="A201" s="34"/>
      <c r="B201" s="35"/>
      <c r="C201" s="36"/>
      <c r="D201" s="36"/>
      <c r="G201" s="23"/>
    </row>
    <row r="202" spans="1:7">
      <c r="A202" s="34"/>
      <c r="B202" s="35"/>
      <c r="C202" s="36"/>
      <c r="D202" s="36"/>
      <c r="G202" s="23"/>
    </row>
    <row r="203" spans="1:7">
      <c r="A203" s="34"/>
      <c r="B203" s="35"/>
      <c r="C203" s="36"/>
      <c r="D203" s="36"/>
      <c r="G203" s="23"/>
    </row>
    <row r="204" spans="1:7">
      <c r="A204" s="34"/>
      <c r="B204" s="35"/>
      <c r="C204" s="36"/>
      <c r="D204" s="36"/>
      <c r="G204" s="23"/>
    </row>
    <row r="205" spans="1:7">
      <c r="A205" s="34"/>
      <c r="B205" s="35"/>
      <c r="C205" s="36"/>
      <c r="D205" s="36"/>
      <c r="G205" s="23"/>
    </row>
    <row r="206" spans="1:7">
      <c r="A206" s="34"/>
      <c r="B206" s="35"/>
      <c r="C206" s="36"/>
      <c r="D206" s="36"/>
      <c r="G206" s="23"/>
    </row>
    <row r="207" spans="1:7">
      <c r="A207" s="34"/>
      <c r="B207" s="35"/>
      <c r="C207" s="36"/>
      <c r="D207" s="36"/>
      <c r="G207" s="23"/>
    </row>
    <row r="208" spans="1:7">
      <c r="A208" s="34"/>
      <c r="B208" s="35"/>
      <c r="C208" s="36"/>
      <c r="D208" s="36"/>
      <c r="G208" s="23"/>
    </row>
    <row r="209" spans="1:7">
      <c r="A209" s="34"/>
      <c r="B209" s="35"/>
      <c r="C209" s="36"/>
      <c r="D209" s="36"/>
      <c r="G209" s="23"/>
    </row>
    <row r="210" spans="1:7">
      <c r="A210" s="34"/>
      <c r="B210" s="35"/>
      <c r="C210" s="36"/>
      <c r="D210" s="36"/>
      <c r="G210" s="23"/>
    </row>
    <row r="211" spans="1:7">
      <c r="A211" s="34"/>
      <c r="B211" s="35"/>
      <c r="C211" s="36"/>
      <c r="D211" s="36"/>
      <c r="G211" s="23"/>
    </row>
    <row r="212" spans="1:7">
      <c r="A212" s="34"/>
      <c r="B212" s="35"/>
      <c r="C212" s="36"/>
      <c r="D212" s="36"/>
      <c r="G212" s="23"/>
    </row>
    <row r="213" spans="1:7">
      <c r="A213" s="34"/>
      <c r="B213" s="35"/>
      <c r="C213" s="36"/>
      <c r="D213" s="36"/>
      <c r="G213" s="23"/>
    </row>
    <row r="214" spans="1:7">
      <c r="A214" s="34"/>
      <c r="B214" s="35"/>
      <c r="C214" s="36"/>
      <c r="D214" s="36"/>
      <c r="G214" s="23"/>
    </row>
    <row r="215" spans="1:7">
      <c r="A215" s="34"/>
      <c r="B215" s="35"/>
      <c r="C215" s="36"/>
      <c r="D215" s="36"/>
      <c r="G215" s="23"/>
    </row>
    <row r="216" spans="1:7">
      <c r="A216" s="34"/>
      <c r="B216" s="35"/>
      <c r="C216" s="36"/>
      <c r="D216" s="36"/>
      <c r="G216" s="23"/>
    </row>
    <row r="217" spans="1:7">
      <c r="A217" s="34"/>
      <c r="B217" s="35"/>
      <c r="C217" s="36"/>
      <c r="D217" s="36"/>
      <c r="G217" s="23"/>
    </row>
    <row r="218" spans="1:7">
      <c r="A218" s="34"/>
      <c r="B218" s="35"/>
      <c r="C218" s="36"/>
      <c r="D218" s="36"/>
      <c r="G218" s="23"/>
    </row>
    <row r="219" spans="1:7">
      <c r="A219" s="34"/>
      <c r="B219" s="35"/>
      <c r="C219" s="36"/>
      <c r="D219" s="36"/>
      <c r="G219" s="23"/>
    </row>
    <row r="220" spans="1:7">
      <c r="A220" s="34"/>
      <c r="B220" s="35"/>
      <c r="C220" s="36"/>
      <c r="D220" s="36"/>
      <c r="G220" s="23"/>
    </row>
    <row r="221" spans="1:7">
      <c r="A221" s="34"/>
      <c r="B221" s="35"/>
      <c r="C221" s="36"/>
      <c r="D221" s="36"/>
      <c r="G221" s="23"/>
    </row>
    <row r="222" spans="1:7">
      <c r="A222" s="34"/>
      <c r="B222" s="35"/>
      <c r="C222" s="36"/>
      <c r="D222" s="36"/>
      <c r="G222" s="23"/>
    </row>
    <row r="223" spans="1:7">
      <c r="A223" s="34"/>
      <c r="B223" s="35"/>
      <c r="C223" s="36"/>
      <c r="D223" s="36"/>
      <c r="G223" s="23"/>
    </row>
    <row r="224" spans="1:7">
      <c r="A224" s="34"/>
      <c r="B224" s="35"/>
      <c r="C224" s="36"/>
      <c r="D224" s="36"/>
      <c r="G224" s="23"/>
    </row>
    <row r="225" spans="1:7">
      <c r="A225" s="34"/>
      <c r="B225" s="35"/>
      <c r="C225" s="36"/>
      <c r="D225" s="36"/>
      <c r="G225" s="23"/>
    </row>
    <row r="226" spans="1:7">
      <c r="A226" s="34"/>
      <c r="B226" s="35"/>
      <c r="C226" s="36"/>
      <c r="D226" s="36"/>
      <c r="G226" s="23"/>
    </row>
    <row r="227" spans="1:7">
      <c r="A227" s="34"/>
      <c r="B227" s="35"/>
      <c r="C227" s="36"/>
      <c r="D227" s="36"/>
      <c r="G227" s="23"/>
    </row>
    <row r="228" spans="1:7">
      <c r="A228" s="34"/>
      <c r="B228" s="35"/>
      <c r="C228" s="36"/>
      <c r="D228" s="36"/>
      <c r="G228" s="23"/>
    </row>
    <row r="229" spans="1:7">
      <c r="A229" s="34"/>
      <c r="B229" s="35"/>
      <c r="C229" s="36"/>
      <c r="D229" s="36"/>
      <c r="G229" s="23"/>
    </row>
    <row r="230" spans="1:7">
      <c r="A230" s="34"/>
      <c r="B230" s="35"/>
      <c r="C230" s="36"/>
      <c r="D230" s="36"/>
      <c r="G230" s="23"/>
    </row>
    <row r="231" spans="1:7">
      <c r="A231" s="34"/>
      <c r="B231" s="35"/>
      <c r="C231" s="36"/>
      <c r="D231" s="36"/>
      <c r="G231" s="23"/>
    </row>
    <row r="232" spans="1:7">
      <c r="A232" s="34"/>
      <c r="B232" s="35"/>
      <c r="C232" s="36"/>
      <c r="D232" s="36"/>
      <c r="G232" s="23"/>
    </row>
    <row r="233" spans="1:7">
      <c r="A233" s="34"/>
      <c r="B233" s="35"/>
      <c r="C233" s="36"/>
      <c r="D233" s="36"/>
      <c r="G233" s="23"/>
    </row>
    <row r="234" spans="1:7">
      <c r="A234" s="34"/>
      <c r="B234" s="35"/>
      <c r="C234" s="36"/>
      <c r="D234" s="36"/>
      <c r="G234" s="23"/>
    </row>
    <row r="235" spans="1:7">
      <c r="A235" s="34"/>
      <c r="B235" s="35"/>
      <c r="C235" s="36"/>
      <c r="D235" s="36"/>
      <c r="G235" s="23"/>
    </row>
    <row r="236" spans="1:7">
      <c r="A236" s="34"/>
      <c r="B236" s="35"/>
      <c r="C236" s="36"/>
      <c r="D236" s="36"/>
      <c r="G236" s="23"/>
    </row>
    <row r="237" spans="1:7">
      <c r="A237" s="34"/>
      <c r="B237" s="35"/>
      <c r="C237" s="36"/>
      <c r="D237" s="36"/>
      <c r="G237" s="23"/>
    </row>
    <row r="238" spans="1:7">
      <c r="A238" s="34"/>
      <c r="B238" s="35"/>
      <c r="C238" s="36"/>
      <c r="D238" s="36"/>
      <c r="G238" s="23"/>
    </row>
    <row r="239" spans="1:7">
      <c r="A239" s="34"/>
      <c r="B239" s="35"/>
      <c r="C239" s="36"/>
      <c r="D239" s="36"/>
      <c r="G239" s="23"/>
    </row>
    <row r="240" spans="1:7">
      <c r="A240" s="34"/>
      <c r="B240" s="35"/>
      <c r="C240" s="36"/>
      <c r="D240" s="36"/>
      <c r="G240" s="23"/>
    </row>
    <row r="241" spans="1:7">
      <c r="A241" s="34"/>
      <c r="B241" s="35"/>
      <c r="C241" s="36"/>
      <c r="D241" s="36"/>
      <c r="G241" s="23"/>
    </row>
    <row r="242" spans="1:7">
      <c r="A242" s="34"/>
      <c r="B242" s="35"/>
      <c r="C242" s="36"/>
      <c r="D242" s="36"/>
      <c r="G242" s="23"/>
    </row>
    <row r="243" spans="1:7">
      <c r="A243" s="34"/>
      <c r="B243" s="35"/>
      <c r="C243" s="36"/>
      <c r="D243" s="36"/>
      <c r="G243" s="23"/>
    </row>
    <row r="244" spans="1:7">
      <c r="A244" s="34"/>
      <c r="B244" s="35"/>
      <c r="C244" s="36"/>
      <c r="D244" s="36"/>
      <c r="G244" s="23"/>
    </row>
    <row r="245" spans="1:7">
      <c r="A245" s="34"/>
      <c r="B245" s="35"/>
      <c r="C245" s="36"/>
      <c r="D245" s="36"/>
      <c r="G245" s="23"/>
    </row>
    <row r="246" spans="1:7">
      <c r="A246" s="34"/>
      <c r="B246" s="35"/>
      <c r="C246" s="36"/>
      <c r="D246" s="36"/>
      <c r="G246" s="23"/>
    </row>
    <row r="247" spans="1:7">
      <c r="A247" s="34"/>
      <c r="B247" s="35"/>
      <c r="C247" s="36"/>
      <c r="D247" s="36"/>
      <c r="G247" s="23"/>
    </row>
    <row r="248" spans="1:7">
      <c r="A248" s="34"/>
      <c r="B248" s="35"/>
      <c r="C248" s="36"/>
      <c r="D248" s="36"/>
      <c r="G248" s="23"/>
    </row>
    <row r="249" spans="1:7">
      <c r="A249" s="34"/>
      <c r="B249" s="35"/>
      <c r="C249" s="36"/>
      <c r="D249" s="36"/>
      <c r="G249" s="23"/>
    </row>
    <row r="250" spans="1:7">
      <c r="A250" s="34"/>
      <c r="B250" s="35"/>
      <c r="C250" s="36"/>
      <c r="D250" s="36"/>
      <c r="G250" s="23"/>
    </row>
    <row r="251" spans="1:7">
      <c r="A251" s="34"/>
      <c r="B251" s="35"/>
      <c r="C251" s="36"/>
      <c r="D251" s="36"/>
      <c r="G251" s="23"/>
    </row>
    <row r="252" spans="1:7">
      <c r="A252" s="34"/>
      <c r="B252" s="35"/>
      <c r="C252" s="36"/>
      <c r="D252" s="36"/>
      <c r="G252" s="23"/>
    </row>
    <row r="253" spans="1:7">
      <c r="A253" s="34"/>
      <c r="B253" s="35"/>
      <c r="C253" s="36"/>
      <c r="D253" s="36"/>
      <c r="G253" s="23"/>
    </row>
    <row r="254" spans="1:7">
      <c r="A254" s="34"/>
      <c r="B254" s="35"/>
      <c r="C254" s="36"/>
      <c r="D254" s="36"/>
      <c r="G254" s="23"/>
    </row>
    <row r="255" spans="1:7">
      <c r="A255" s="34"/>
      <c r="B255" s="35"/>
      <c r="C255" s="36"/>
      <c r="D255" s="36"/>
      <c r="G255" s="23"/>
    </row>
    <row r="256" spans="1:7">
      <c r="A256" s="34"/>
      <c r="B256" s="35"/>
      <c r="C256" s="36"/>
      <c r="D256" s="36"/>
      <c r="G256" s="23"/>
    </row>
    <row r="257" spans="1:7">
      <c r="A257" s="34"/>
      <c r="B257" s="35"/>
      <c r="C257" s="36"/>
      <c r="D257" s="36"/>
      <c r="G257" s="23"/>
    </row>
    <row r="258" spans="1:7">
      <c r="A258" s="34"/>
      <c r="B258" s="35"/>
      <c r="C258" s="36"/>
      <c r="D258" s="36"/>
      <c r="G258" s="23"/>
    </row>
    <row r="259" spans="1:7">
      <c r="A259" s="34"/>
      <c r="B259" s="35"/>
      <c r="C259" s="36"/>
      <c r="D259" s="36"/>
      <c r="G259" s="23"/>
    </row>
    <row r="260" spans="1:7">
      <c r="A260" s="34"/>
      <c r="B260" s="35"/>
      <c r="C260" s="36"/>
      <c r="D260" s="36"/>
      <c r="G260" s="23"/>
    </row>
    <row r="261" spans="1:7">
      <c r="A261" s="34"/>
      <c r="B261" s="35"/>
      <c r="C261" s="36"/>
      <c r="D261" s="36"/>
      <c r="G261" s="23"/>
    </row>
    <row r="262" spans="1:7">
      <c r="A262" s="34"/>
      <c r="B262" s="35"/>
      <c r="C262" s="36"/>
      <c r="D262" s="36"/>
      <c r="G262" s="23"/>
    </row>
    <row r="263" spans="1:7">
      <c r="A263" s="34"/>
      <c r="B263" s="35"/>
      <c r="C263" s="36"/>
      <c r="D263" s="36"/>
      <c r="G263" s="23"/>
    </row>
    <row r="264" spans="1:7">
      <c r="A264" s="34"/>
      <c r="B264" s="35"/>
      <c r="C264" s="36"/>
      <c r="D264" s="36"/>
      <c r="G264" s="23"/>
    </row>
    <row r="265" spans="1:7">
      <c r="A265" s="34"/>
      <c r="B265" s="35"/>
      <c r="C265" s="36"/>
      <c r="D265" s="36"/>
      <c r="G265" s="23"/>
    </row>
    <row r="266" spans="1:7">
      <c r="A266" s="34"/>
      <c r="B266" s="35"/>
      <c r="C266" s="36"/>
      <c r="D266" s="36"/>
      <c r="G266" s="23"/>
    </row>
    <row r="267" spans="1:7">
      <c r="A267" s="34"/>
      <c r="B267" s="35"/>
      <c r="C267" s="36"/>
      <c r="D267" s="36"/>
      <c r="G267" s="23"/>
    </row>
    <row r="268" spans="1:7">
      <c r="A268" s="34"/>
      <c r="B268" s="35"/>
      <c r="C268" s="36"/>
      <c r="D268" s="36"/>
      <c r="G268" s="23"/>
    </row>
    <row r="269" spans="1:7">
      <c r="A269" s="34"/>
      <c r="B269" s="35"/>
      <c r="C269" s="36"/>
      <c r="D269" s="36"/>
      <c r="G269" s="23"/>
    </row>
    <row r="270" spans="1:7">
      <c r="A270" s="34"/>
      <c r="B270" s="35"/>
      <c r="C270" s="36"/>
      <c r="D270" s="36"/>
      <c r="G270" s="23"/>
    </row>
    <row r="271" spans="1:7">
      <c r="A271" s="34"/>
      <c r="B271" s="35"/>
      <c r="C271" s="36"/>
      <c r="D271" s="36"/>
      <c r="G271" s="23"/>
    </row>
    <row r="272" spans="1:7">
      <c r="A272" s="34"/>
      <c r="B272" s="35"/>
      <c r="C272" s="36"/>
      <c r="D272" s="36"/>
      <c r="G272" s="23"/>
    </row>
    <row r="273" spans="1:7">
      <c r="A273" s="34"/>
      <c r="B273" s="35"/>
      <c r="C273" s="36"/>
      <c r="D273" s="36"/>
      <c r="G273" s="23"/>
    </row>
    <row r="274" spans="1:7">
      <c r="A274" s="34"/>
      <c r="B274" s="35"/>
      <c r="C274" s="36"/>
      <c r="D274" s="36"/>
      <c r="G274" s="23"/>
    </row>
    <row r="275" spans="1:7">
      <c r="A275" s="34"/>
      <c r="B275" s="35"/>
      <c r="C275" s="36"/>
      <c r="D275" s="36"/>
      <c r="G275" s="23"/>
    </row>
    <row r="276" spans="1:7">
      <c r="A276" s="34"/>
      <c r="B276" s="35"/>
      <c r="C276" s="36"/>
      <c r="D276" s="36"/>
      <c r="G276" s="23"/>
    </row>
    <row r="277" spans="1:7">
      <c r="A277" s="34"/>
      <c r="B277" s="35"/>
      <c r="C277" s="36"/>
      <c r="D277" s="36"/>
      <c r="G277" s="23"/>
    </row>
    <row r="278" spans="1:7">
      <c r="A278" s="34"/>
      <c r="B278" s="35"/>
      <c r="C278" s="36"/>
      <c r="D278" s="36"/>
      <c r="G278" s="23"/>
    </row>
    <row r="279" spans="1:7">
      <c r="A279" s="34"/>
      <c r="B279" s="35"/>
      <c r="C279" s="36"/>
      <c r="D279" s="36"/>
      <c r="G279" s="23"/>
    </row>
    <row r="280" spans="1:7">
      <c r="A280" s="34"/>
      <c r="B280" s="35"/>
      <c r="C280" s="36"/>
      <c r="D280" s="36"/>
      <c r="G280" s="23"/>
    </row>
    <row r="281" spans="1:7">
      <c r="A281" s="34"/>
      <c r="B281" s="35"/>
      <c r="C281" s="36"/>
      <c r="D281" s="36"/>
      <c r="G281" s="23"/>
    </row>
    <row r="282" spans="1:7">
      <c r="A282" s="34"/>
      <c r="B282" s="35"/>
      <c r="C282" s="36"/>
      <c r="D282" s="36"/>
      <c r="G282" s="23"/>
    </row>
    <row r="283" spans="1:7">
      <c r="A283" s="34"/>
      <c r="B283" s="35"/>
      <c r="C283" s="36"/>
      <c r="D283" s="36"/>
      <c r="G283" s="23"/>
    </row>
    <row r="284" spans="1:7">
      <c r="A284" s="34"/>
      <c r="B284" s="35"/>
      <c r="C284" s="36"/>
      <c r="D284" s="36"/>
      <c r="G284" s="23"/>
    </row>
    <row r="285" spans="1:7">
      <c r="A285" s="34"/>
      <c r="B285" s="35"/>
      <c r="C285" s="36"/>
      <c r="D285" s="36"/>
      <c r="G285" s="23"/>
    </row>
    <row r="286" spans="1:7">
      <c r="A286" s="34"/>
      <c r="B286" s="35"/>
      <c r="C286" s="36"/>
      <c r="D286" s="36"/>
      <c r="G286" s="23"/>
    </row>
    <row r="287" spans="1:7">
      <c r="A287" s="34"/>
      <c r="B287" s="35"/>
      <c r="C287" s="36"/>
      <c r="D287" s="36"/>
      <c r="G287" s="23"/>
    </row>
    <row r="288" spans="1:7">
      <c r="A288" s="34"/>
      <c r="B288" s="35"/>
      <c r="C288" s="36"/>
      <c r="D288" s="36"/>
      <c r="G288" s="23"/>
    </row>
    <row r="289" spans="1:7">
      <c r="A289" s="34"/>
      <c r="B289" s="35"/>
      <c r="C289" s="36"/>
      <c r="D289" s="36"/>
      <c r="G289" s="23"/>
    </row>
    <row r="290" spans="1:7">
      <c r="A290" s="34"/>
      <c r="B290" s="35"/>
      <c r="C290" s="36"/>
      <c r="D290" s="36"/>
      <c r="G290" s="23"/>
    </row>
    <row r="291" spans="1:7">
      <c r="A291" s="34"/>
      <c r="B291" s="35"/>
      <c r="C291" s="36"/>
      <c r="D291" s="36"/>
      <c r="G291" s="23"/>
    </row>
    <row r="292" spans="1:7">
      <c r="A292" s="34"/>
      <c r="B292" s="35"/>
      <c r="C292" s="36"/>
      <c r="D292" s="36"/>
      <c r="G292" s="23"/>
    </row>
    <row r="293" spans="1:7">
      <c r="A293" s="34"/>
      <c r="B293" s="35"/>
      <c r="C293" s="36"/>
      <c r="D293" s="36"/>
      <c r="G293" s="23"/>
    </row>
    <row r="294" spans="1:7">
      <c r="A294" s="34"/>
      <c r="B294" s="35"/>
      <c r="C294" s="36"/>
      <c r="D294" s="36"/>
      <c r="G294" s="23"/>
    </row>
    <row r="295" spans="1:7">
      <c r="A295" s="34"/>
      <c r="B295" s="35"/>
      <c r="C295" s="36"/>
      <c r="D295" s="36"/>
      <c r="G295" s="23"/>
    </row>
    <row r="296" spans="1:7">
      <c r="A296" s="34"/>
      <c r="B296" s="35"/>
      <c r="C296" s="36"/>
      <c r="D296" s="36"/>
      <c r="G296" s="23"/>
    </row>
    <row r="297" spans="1:7">
      <c r="A297" s="34"/>
      <c r="B297" s="35"/>
      <c r="C297" s="36"/>
      <c r="D297" s="36"/>
      <c r="G297" s="23"/>
    </row>
    <row r="298" spans="1:7">
      <c r="A298" s="34"/>
      <c r="B298" s="35"/>
      <c r="C298" s="36"/>
      <c r="D298" s="36"/>
      <c r="G298" s="23"/>
    </row>
    <row r="299" spans="1:7">
      <c r="A299" s="34"/>
      <c r="B299" s="35"/>
      <c r="C299" s="36"/>
      <c r="D299" s="36"/>
      <c r="G299" s="23"/>
    </row>
    <row r="300" spans="1:7">
      <c r="A300" s="34"/>
      <c r="B300" s="35"/>
      <c r="C300" s="36"/>
      <c r="D300" s="36"/>
      <c r="G300" s="23"/>
    </row>
    <row r="301" spans="1:7">
      <c r="A301" s="34"/>
      <c r="B301" s="35"/>
      <c r="C301" s="36"/>
      <c r="D301" s="36"/>
      <c r="G301" s="23"/>
    </row>
    <row r="302" spans="1:7">
      <c r="A302" s="34"/>
      <c r="B302" s="35"/>
      <c r="C302" s="36"/>
      <c r="D302" s="36"/>
      <c r="G302" s="23"/>
    </row>
    <row r="303" spans="1:7">
      <c r="A303" s="34"/>
      <c r="B303" s="35"/>
      <c r="C303" s="36"/>
      <c r="D303" s="36"/>
      <c r="G303" s="23"/>
    </row>
    <row r="304" spans="1:7">
      <c r="A304" s="34"/>
      <c r="B304" s="35"/>
      <c r="C304" s="36"/>
      <c r="D304" s="36"/>
      <c r="G304" s="23"/>
    </row>
    <row r="305" spans="1:7">
      <c r="A305" s="34"/>
      <c r="B305" s="35"/>
      <c r="C305" s="36"/>
      <c r="D305" s="36"/>
      <c r="G305" s="23"/>
    </row>
    <row r="306" spans="1:7">
      <c r="A306" s="34"/>
      <c r="B306" s="35"/>
      <c r="C306" s="36"/>
      <c r="D306" s="36"/>
      <c r="G306" s="23"/>
    </row>
    <row r="307" spans="1:7">
      <c r="A307" s="34"/>
      <c r="B307" s="35"/>
      <c r="C307" s="36"/>
      <c r="D307" s="36"/>
      <c r="G307" s="23"/>
    </row>
    <row r="308" spans="1:7">
      <c r="A308" s="34"/>
      <c r="B308" s="35"/>
      <c r="C308" s="36"/>
      <c r="D308" s="36"/>
      <c r="G308" s="23"/>
    </row>
    <row r="309" spans="1:7">
      <c r="A309" s="34"/>
      <c r="B309" s="35"/>
      <c r="C309" s="36"/>
      <c r="D309" s="36"/>
      <c r="G309" s="23"/>
    </row>
    <row r="310" spans="1:7">
      <c r="A310" s="34"/>
      <c r="B310" s="35"/>
      <c r="C310" s="36"/>
      <c r="D310" s="36"/>
      <c r="G310" s="23"/>
    </row>
    <row r="311" spans="1:7">
      <c r="A311" s="34"/>
      <c r="B311" s="35"/>
      <c r="C311" s="36"/>
      <c r="D311" s="36"/>
      <c r="G311" s="23"/>
    </row>
    <row r="312" spans="1:7">
      <c r="A312" s="34"/>
      <c r="B312" s="35"/>
      <c r="C312" s="36"/>
      <c r="D312" s="36"/>
      <c r="G312" s="23"/>
    </row>
    <row r="313" spans="1:7">
      <c r="A313" s="34"/>
      <c r="B313" s="35"/>
      <c r="C313" s="36"/>
      <c r="D313" s="36"/>
      <c r="G313" s="23"/>
    </row>
    <row r="314" spans="1:7">
      <c r="A314" s="34"/>
      <c r="B314" s="35"/>
      <c r="C314" s="36"/>
      <c r="D314" s="36"/>
      <c r="G314" s="23"/>
    </row>
    <row r="315" spans="1:7">
      <c r="A315" s="34"/>
      <c r="B315" s="35"/>
      <c r="C315" s="36"/>
      <c r="D315" s="36"/>
      <c r="G315" s="23"/>
    </row>
    <row r="316" spans="1:7">
      <c r="A316" s="34"/>
      <c r="B316" s="35"/>
      <c r="C316" s="36"/>
      <c r="D316" s="36"/>
      <c r="G316" s="23"/>
    </row>
    <row r="317" spans="1:7">
      <c r="A317" s="34"/>
      <c r="B317" s="35"/>
      <c r="C317" s="36"/>
      <c r="D317" s="36"/>
      <c r="G317" s="23"/>
    </row>
    <row r="318" spans="1:7">
      <c r="A318" s="34"/>
      <c r="B318" s="35"/>
      <c r="C318" s="36"/>
      <c r="D318" s="36"/>
      <c r="G318" s="23"/>
    </row>
    <row r="319" spans="1:7">
      <c r="A319" s="34"/>
      <c r="B319" s="35"/>
      <c r="C319" s="36"/>
      <c r="D319" s="36"/>
      <c r="G319" s="23"/>
    </row>
    <row r="320" spans="1:7">
      <c r="A320" s="34"/>
      <c r="B320" s="35"/>
      <c r="C320" s="36"/>
      <c r="D320" s="36"/>
      <c r="G320" s="23"/>
    </row>
    <row r="321" spans="1:7">
      <c r="A321" s="34"/>
      <c r="B321" s="35"/>
      <c r="C321" s="36"/>
      <c r="D321" s="36"/>
      <c r="G321" s="23"/>
    </row>
    <row r="322" spans="1:7">
      <c r="A322" s="34"/>
      <c r="B322" s="35"/>
      <c r="C322" s="36"/>
      <c r="D322" s="36"/>
      <c r="G322" s="23"/>
    </row>
    <row r="323" spans="1:7">
      <c r="A323" s="34"/>
      <c r="B323" s="35"/>
      <c r="C323" s="36"/>
      <c r="D323" s="36"/>
      <c r="G323" s="23"/>
    </row>
    <row r="324" spans="1:7">
      <c r="A324" s="34"/>
      <c r="B324" s="35"/>
      <c r="C324" s="36"/>
      <c r="D324" s="36"/>
      <c r="G324" s="23"/>
    </row>
    <row r="325" spans="1:7">
      <c r="A325" s="34"/>
      <c r="B325" s="35"/>
      <c r="C325" s="36"/>
      <c r="D325" s="36"/>
      <c r="G325" s="23"/>
    </row>
    <row r="326" spans="1:7">
      <c r="A326" s="34"/>
      <c r="B326" s="35"/>
      <c r="C326" s="36"/>
      <c r="D326" s="36"/>
      <c r="G326" s="23"/>
    </row>
    <row r="327" spans="1:7">
      <c r="A327" s="34"/>
      <c r="B327" s="35"/>
      <c r="C327" s="36"/>
      <c r="D327" s="36"/>
      <c r="G327" s="23"/>
    </row>
    <row r="328" spans="1:7">
      <c r="A328" s="34"/>
      <c r="B328" s="35"/>
      <c r="C328" s="36"/>
      <c r="D328" s="36"/>
      <c r="G328" s="23"/>
    </row>
    <row r="329" spans="1:7">
      <c r="A329" s="34"/>
      <c r="B329" s="35"/>
      <c r="C329" s="36"/>
      <c r="D329" s="36"/>
      <c r="G329" s="23"/>
    </row>
    <row r="330" spans="1:7">
      <c r="A330" s="34"/>
      <c r="B330" s="35"/>
      <c r="C330" s="36"/>
      <c r="D330" s="36"/>
      <c r="G330" s="23"/>
    </row>
    <row r="331" spans="1:7">
      <c r="A331" s="34"/>
      <c r="B331" s="35"/>
      <c r="C331" s="36"/>
      <c r="D331" s="36"/>
      <c r="G331" s="23"/>
    </row>
    <row r="332" spans="1:7">
      <c r="A332" s="34"/>
      <c r="B332" s="35"/>
      <c r="C332" s="36"/>
      <c r="D332" s="36"/>
      <c r="G332" s="23"/>
    </row>
    <row r="333" spans="1:7">
      <c r="A333" s="34"/>
      <c r="B333" s="35"/>
      <c r="C333" s="36"/>
      <c r="D333" s="36"/>
      <c r="G333" s="23"/>
    </row>
    <row r="334" spans="1:7">
      <c r="A334" s="34"/>
      <c r="B334" s="35"/>
      <c r="C334" s="36"/>
      <c r="D334" s="36"/>
      <c r="G334" s="23"/>
    </row>
    <row r="335" spans="1:7">
      <c r="A335" s="34"/>
      <c r="B335" s="35"/>
      <c r="C335" s="36"/>
      <c r="D335" s="36"/>
      <c r="G335" s="23"/>
    </row>
    <row r="336" spans="1:7">
      <c r="A336" s="34"/>
      <c r="B336" s="35"/>
      <c r="C336" s="36"/>
      <c r="D336" s="36"/>
      <c r="G336" s="23"/>
    </row>
    <row r="337" spans="1:7">
      <c r="A337" s="34"/>
      <c r="B337" s="35"/>
      <c r="C337" s="36"/>
      <c r="D337" s="36"/>
      <c r="G337" s="23"/>
    </row>
    <row r="338" spans="1:7">
      <c r="A338" s="34"/>
      <c r="B338" s="35"/>
      <c r="C338" s="36"/>
      <c r="D338" s="36"/>
      <c r="G338" s="23"/>
    </row>
    <row r="339" spans="1:7">
      <c r="A339" s="34"/>
      <c r="B339" s="35"/>
      <c r="C339" s="36"/>
      <c r="D339" s="36"/>
      <c r="G339" s="23"/>
    </row>
    <row r="340" spans="1:7">
      <c r="A340" s="34"/>
      <c r="B340" s="35"/>
      <c r="C340" s="36"/>
      <c r="D340" s="36"/>
      <c r="G340" s="23"/>
    </row>
    <row r="341" spans="1:7">
      <c r="A341" s="34"/>
      <c r="B341" s="35"/>
      <c r="C341" s="36"/>
      <c r="D341" s="36"/>
      <c r="G341" s="23"/>
    </row>
    <row r="342" spans="1:7">
      <c r="A342" s="34"/>
      <c r="B342" s="35"/>
      <c r="C342" s="36"/>
      <c r="D342" s="36"/>
      <c r="G342" s="23"/>
    </row>
    <row r="343" spans="1:7">
      <c r="A343" s="34"/>
      <c r="B343" s="35"/>
      <c r="C343" s="36"/>
      <c r="D343" s="36"/>
      <c r="G343" s="23"/>
    </row>
    <row r="344" spans="1:7">
      <c r="A344" s="34"/>
      <c r="B344" s="35"/>
      <c r="C344" s="36"/>
      <c r="D344" s="36"/>
      <c r="G344" s="23"/>
    </row>
    <row r="345" spans="1:7">
      <c r="A345" s="34"/>
      <c r="B345" s="35"/>
      <c r="C345" s="36"/>
      <c r="D345" s="36"/>
      <c r="G345" s="23"/>
    </row>
    <row r="346" spans="1:7">
      <c r="A346" s="34"/>
      <c r="B346" s="35"/>
      <c r="C346" s="36"/>
      <c r="D346" s="36"/>
      <c r="G346" s="23"/>
    </row>
    <row r="347" spans="1:7">
      <c r="A347" s="34"/>
      <c r="B347" s="35"/>
      <c r="C347" s="36"/>
      <c r="D347" s="36"/>
      <c r="G347" s="23"/>
    </row>
    <row r="348" spans="1:7">
      <c r="A348" s="34"/>
      <c r="B348" s="35"/>
      <c r="C348" s="36"/>
      <c r="D348" s="36"/>
      <c r="G348" s="23"/>
    </row>
    <row r="349" spans="1:7">
      <c r="A349" s="34"/>
      <c r="B349" s="35"/>
      <c r="C349" s="36"/>
      <c r="D349" s="36"/>
      <c r="G349" s="23"/>
    </row>
    <row r="350" spans="1:7">
      <c r="A350" s="34"/>
      <c r="B350" s="35"/>
      <c r="C350" s="36"/>
      <c r="D350" s="36"/>
      <c r="G350" s="23"/>
    </row>
    <row r="351" spans="1:7">
      <c r="A351" s="34"/>
      <c r="B351" s="35"/>
      <c r="C351" s="36"/>
      <c r="D351" s="36"/>
      <c r="G351" s="23"/>
    </row>
    <row r="352" spans="1:7">
      <c r="A352" s="34"/>
      <c r="B352" s="35"/>
      <c r="C352" s="36"/>
      <c r="D352" s="36"/>
      <c r="G352" s="23"/>
    </row>
    <row r="353" spans="1:7">
      <c r="A353" s="34"/>
      <c r="B353" s="35"/>
      <c r="C353" s="36"/>
      <c r="D353" s="36"/>
      <c r="G353" s="23"/>
    </row>
    <row r="354" spans="1:7">
      <c r="A354" s="34"/>
      <c r="B354" s="35"/>
      <c r="C354" s="36"/>
      <c r="D354" s="36"/>
      <c r="G354" s="23"/>
    </row>
    <row r="355" spans="1:7">
      <c r="A355" s="34"/>
      <c r="B355" s="35"/>
      <c r="C355" s="36"/>
      <c r="D355" s="36"/>
      <c r="G355" s="23"/>
    </row>
    <row r="356" spans="1:7">
      <c r="A356" s="34"/>
      <c r="B356" s="35"/>
      <c r="C356" s="36"/>
      <c r="D356" s="36"/>
      <c r="G356" s="23"/>
    </row>
    <row r="357" spans="1:7">
      <c r="A357" s="34"/>
      <c r="B357" s="35"/>
      <c r="C357" s="36"/>
      <c r="D357" s="36"/>
      <c r="G357" s="23"/>
    </row>
    <row r="358" spans="1:7">
      <c r="A358" s="34"/>
      <c r="B358" s="35"/>
      <c r="C358" s="36"/>
      <c r="D358" s="36"/>
      <c r="G358" s="23"/>
    </row>
    <row r="359" spans="1:7">
      <c r="A359" s="34"/>
      <c r="B359" s="35"/>
      <c r="C359" s="36"/>
      <c r="D359" s="36"/>
      <c r="G359" s="23"/>
    </row>
    <row r="360" spans="1:7">
      <c r="A360" s="34"/>
      <c r="B360" s="35"/>
      <c r="C360" s="36"/>
      <c r="D360" s="36"/>
      <c r="G360" s="23"/>
    </row>
    <row r="361" spans="1:7">
      <c r="A361" s="34"/>
      <c r="B361" s="35"/>
      <c r="C361" s="36"/>
      <c r="D361" s="36"/>
      <c r="G361" s="23"/>
    </row>
    <row r="362" spans="1:7">
      <c r="A362" s="34"/>
      <c r="B362" s="35"/>
      <c r="C362" s="36"/>
      <c r="D362" s="36"/>
      <c r="G362" s="23"/>
    </row>
    <row r="363" spans="1:7">
      <c r="A363" s="34"/>
      <c r="B363" s="35"/>
      <c r="C363" s="36"/>
      <c r="D363" s="36"/>
      <c r="G363" s="23"/>
    </row>
    <row r="364" spans="1:7">
      <c r="A364" s="34"/>
      <c r="B364" s="35"/>
      <c r="C364" s="36"/>
      <c r="D364" s="36"/>
      <c r="G364" s="23"/>
    </row>
    <row r="365" spans="1:7">
      <c r="A365" s="34"/>
      <c r="B365" s="35"/>
      <c r="C365" s="36"/>
      <c r="D365" s="36"/>
      <c r="G365" s="23"/>
    </row>
    <row r="366" spans="1:7">
      <c r="A366" s="34"/>
      <c r="B366" s="35"/>
      <c r="C366" s="36"/>
      <c r="D366" s="36"/>
      <c r="G366" s="23"/>
    </row>
    <row r="367" spans="1:7">
      <c r="A367" s="34"/>
      <c r="B367" s="35"/>
      <c r="C367" s="36"/>
      <c r="D367" s="36"/>
      <c r="G367" s="23"/>
    </row>
    <row r="368" spans="1:7">
      <c r="A368" s="34"/>
      <c r="B368" s="35"/>
      <c r="C368" s="36"/>
      <c r="D368" s="36"/>
      <c r="G368" s="23"/>
    </row>
    <row r="369" spans="1:7">
      <c r="A369" s="34"/>
      <c r="B369" s="35"/>
      <c r="C369" s="36"/>
      <c r="D369" s="36"/>
      <c r="G369" s="23"/>
    </row>
    <row r="370" spans="1:7">
      <c r="A370" s="34"/>
      <c r="B370" s="35"/>
      <c r="C370" s="36"/>
      <c r="D370" s="36"/>
      <c r="G370" s="23"/>
    </row>
    <row r="371" spans="1:7">
      <c r="A371" s="34"/>
      <c r="B371" s="35"/>
      <c r="C371" s="36"/>
      <c r="D371" s="36"/>
      <c r="G371" s="23"/>
    </row>
    <row r="372" spans="1:7">
      <c r="A372" s="34"/>
      <c r="B372" s="35"/>
      <c r="C372" s="36"/>
      <c r="D372" s="36"/>
      <c r="G372" s="23"/>
    </row>
    <row r="373" spans="1:7">
      <c r="A373" s="34"/>
      <c r="B373" s="35"/>
      <c r="C373" s="36"/>
      <c r="D373" s="36"/>
      <c r="G373" s="23"/>
    </row>
    <row r="374" spans="1:7">
      <c r="A374" s="34"/>
      <c r="B374" s="35"/>
      <c r="C374" s="36"/>
      <c r="D374" s="36"/>
      <c r="G374" s="23"/>
    </row>
    <row r="375" spans="1:7">
      <c r="A375" s="34"/>
      <c r="B375" s="35"/>
      <c r="C375" s="36"/>
      <c r="D375" s="36"/>
      <c r="G375" s="23"/>
    </row>
    <row r="376" spans="1:7">
      <c r="A376" s="34"/>
      <c r="B376" s="35"/>
      <c r="C376" s="36"/>
      <c r="D376" s="36"/>
      <c r="G376" s="23"/>
    </row>
    <row r="377" spans="1:7">
      <c r="A377" s="34"/>
      <c r="B377" s="35"/>
      <c r="C377" s="36"/>
      <c r="D377" s="36"/>
      <c r="G377" s="23"/>
    </row>
    <row r="378" spans="1:7">
      <c r="A378" s="34"/>
      <c r="B378" s="35"/>
      <c r="C378" s="36"/>
      <c r="D378" s="36"/>
      <c r="G378" s="23"/>
    </row>
    <row r="379" spans="1:7">
      <c r="A379" s="34"/>
      <c r="B379" s="35"/>
      <c r="C379" s="36"/>
      <c r="D379" s="36"/>
      <c r="G379" s="23"/>
    </row>
    <row r="380" spans="1:7">
      <c r="A380" s="34"/>
      <c r="B380" s="35"/>
      <c r="C380" s="36"/>
      <c r="D380" s="36"/>
      <c r="G380" s="23"/>
    </row>
    <row r="381" spans="1:7">
      <c r="A381" s="34"/>
      <c r="B381" s="35"/>
      <c r="C381" s="36"/>
      <c r="D381" s="36"/>
      <c r="G381" s="23"/>
    </row>
    <row r="382" spans="1:7">
      <c r="A382" s="34"/>
      <c r="B382" s="35"/>
      <c r="C382" s="36"/>
      <c r="D382" s="36"/>
      <c r="G382" s="23"/>
    </row>
    <row r="383" spans="1:7">
      <c r="A383" s="34"/>
      <c r="B383" s="35"/>
      <c r="C383" s="36"/>
      <c r="D383" s="36"/>
      <c r="G383" s="23"/>
    </row>
    <row r="384" spans="1:7">
      <c r="A384" s="34"/>
      <c r="B384" s="35"/>
      <c r="C384" s="36"/>
      <c r="D384" s="36"/>
      <c r="G384" s="23"/>
    </row>
    <row r="385" spans="1:7">
      <c r="A385" s="34"/>
      <c r="B385" s="35"/>
      <c r="C385" s="36"/>
      <c r="D385" s="36"/>
      <c r="G385" s="23"/>
    </row>
    <row r="386" spans="1:7">
      <c r="A386" s="34"/>
      <c r="B386" s="35"/>
      <c r="C386" s="36"/>
      <c r="D386" s="36"/>
      <c r="G386" s="23"/>
    </row>
    <row r="387" spans="1:7">
      <c r="A387" s="34"/>
      <c r="B387" s="35"/>
      <c r="C387" s="36"/>
      <c r="D387" s="36"/>
      <c r="G387" s="23"/>
    </row>
    <row r="388" spans="1:7">
      <c r="A388" s="34"/>
      <c r="B388" s="35"/>
      <c r="C388" s="36"/>
      <c r="D388" s="36"/>
      <c r="G388" s="23"/>
    </row>
    <row r="389" spans="1:7">
      <c r="A389" s="34"/>
      <c r="B389" s="35"/>
      <c r="C389" s="36"/>
      <c r="D389" s="36"/>
      <c r="G389" s="23"/>
    </row>
    <row r="390" spans="1:7">
      <c r="A390" s="34"/>
      <c r="B390" s="35"/>
      <c r="C390" s="36"/>
      <c r="D390" s="36"/>
      <c r="G390" s="23"/>
    </row>
    <row r="391" spans="1:7">
      <c r="A391" s="34"/>
      <c r="B391" s="35"/>
      <c r="C391" s="36"/>
      <c r="D391" s="36"/>
      <c r="G391" s="23"/>
    </row>
    <row r="392" spans="1:7">
      <c r="A392" s="34"/>
      <c r="B392" s="35"/>
      <c r="C392" s="36"/>
      <c r="D392" s="36"/>
      <c r="G392" s="23"/>
    </row>
    <row r="393" spans="1:7">
      <c r="A393" s="34"/>
      <c r="B393" s="35"/>
      <c r="C393" s="36"/>
      <c r="D393" s="36"/>
      <c r="G393" s="23"/>
    </row>
    <row r="394" spans="1:7">
      <c r="A394" s="34"/>
      <c r="B394" s="35"/>
      <c r="C394" s="36"/>
      <c r="D394" s="36"/>
      <c r="G394" s="23"/>
    </row>
    <row r="395" spans="1:7">
      <c r="A395" s="34"/>
      <c r="B395" s="35"/>
      <c r="C395" s="36"/>
      <c r="D395" s="36"/>
      <c r="G395" s="23"/>
    </row>
    <row r="396" spans="1:7">
      <c r="A396" s="34"/>
      <c r="B396" s="35"/>
      <c r="C396" s="36"/>
      <c r="D396" s="36"/>
      <c r="G396" s="23"/>
    </row>
    <row r="397" spans="1:7">
      <c r="A397" s="34"/>
      <c r="B397" s="35"/>
      <c r="C397" s="36"/>
      <c r="D397" s="36"/>
      <c r="G397" s="23"/>
    </row>
    <row r="398" spans="1:7">
      <c r="A398" s="34"/>
      <c r="B398" s="35"/>
      <c r="C398" s="36"/>
      <c r="D398" s="36"/>
      <c r="G398" s="23"/>
    </row>
    <row r="399" spans="1:7">
      <c r="A399" s="34"/>
      <c r="B399" s="35"/>
      <c r="C399" s="36"/>
      <c r="D399" s="36"/>
      <c r="G399" s="23"/>
    </row>
    <row r="400" spans="1:7">
      <c r="A400" s="34"/>
      <c r="B400" s="35"/>
      <c r="C400" s="36"/>
      <c r="D400" s="36"/>
      <c r="G400" s="23"/>
    </row>
    <row r="401" spans="1:7">
      <c r="A401" s="34"/>
      <c r="B401" s="35"/>
      <c r="C401" s="36"/>
      <c r="D401" s="36"/>
      <c r="G401" s="23"/>
    </row>
    <row r="402" spans="1:7">
      <c r="A402" s="34"/>
      <c r="B402" s="35"/>
      <c r="C402" s="36"/>
      <c r="D402" s="36"/>
      <c r="G402" s="23"/>
    </row>
    <row r="403" spans="1:7">
      <c r="A403" s="34"/>
      <c r="B403" s="35"/>
      <c r="C403" s="36"/>
      <c r="D403" s="36"/>
      <c r="G403" s="23"/>
    </row>
    <row r="404" spans="1:7">
      <c r="A404" s="34"/>
      <c r="B404" s="35"/>
      <c r="C404" s="36"/>
      <c r="D404" s="36"/>
      <c r="G404" s="23"/>
    </row>
    <row r="405" spans="1:7">
      <c r="A405" s="34"/>
      <c r="B405" s="35"/>
      <c r="C405" s="36"/>
      <c r="D405" s="36"/>
      <c r="G405" s="23"/>
    </row>
    <row r="406" spans="1:7">
      <c r="A406" s="34"/>
      <c r="B406" s="35"/>
      <c r="C406" s="36"/>
      <c r="D406" s="36"/>
      <c r="G406" s="23"/>
    </row>
    <row r="407" spans="1:7">
      <c r="A407" s="34"/>
      <c r="B407" s="35"/>
      <c r="C407" s="36"/>
      <c r="D407" s="36"/>
      <c r="G407" s="23"/>
    </row>
    <row r="408" spans="1:7">
      <c r="A408" s="34"/>
      <c r="B408" s="35"/>
      <c r="C408" s="36"/>
      <c r="D408" s="36"/>
      <c r="G408" s="23"/>
    </row>
    <row r="409" spans="1:7">
      <c r="A409" s="34"/>
      <c r="B409" s="35"/>
      <c r="C409" s="36"/>
      <c r="D409" s="36"/>
      <c r="G409" s="23"/>
    </row>
    <row r="410" spans="1:7">
      <c r="A410" s="34"/>
      <c r="B410" s="35"/>
      <c r="C410" s="36"/>
      <c r="D410" s="36"/>
      <c r="G410" s="23"/>
    </row>
    <row r="411" spans="1:7">
      <c r="A411" s="34"/>
      <c r="B411" s="35"/>
      <c r="C411" s="36"/>
      <c r="D411" s="36"/>
      <c r="G411" s="23"/>
    </row>
    <row r="412" spans="1:7">
      <c r="A412" s="34"/>
      <c r="B412" s="35"/>
      <c r="C412" s="36"/>
      <c r="D412" s="36"/>
      <c r="G412" s="23"/>
    </row>
    <row r="413" spans="1:7">
      <c r="A413" s="34"/>
      <c r="B413" s="35"/>
      <c r="C413" s="36"/>
      <c r="D413" s="36"/>
      <c r="G413" s="23"/>
    </row>
    <row r="414" spans="1:7">
      <c r="A414" s="34"/>
      <c r="B414" s="35"/>
      <c r="C414" s="36"/>
      <c r="D414" s="36"/>
      <c r="G414" s="23"/>
    </row>
    <row r="415" spans="1:7">
      <c r="A415" s="34"/>
      <c r="B415" s="35"/>
      <c r="C415" s="36"/>
      <c r="D415" s="36"/>
      <c r="G415" s="23"/>
    </row>
    <row r="416" spans="1:7">
      <c r="A416" s="34"/>
      <c r="B416" s="35"/>
      <c r="C416" s="36"/>
      <c r="D416" s="36"/>
      <c r="G416" s="23"/>
    </row>
    <row r="417" spans="1:7">
      <c r="A417" s="34"/>
      <c r="B417" s="35"/>
      <c r="C417" s="36"/>
      <c r="D417" s="36"/>
      <c r="G417" s="23"/>
    </row>
    <row r="418" spans="1:7">
      <c r="A418" s="34"/>
      <c r="B418" s="35"/>
      <c r="C418" s="36"/>
      <c r="D418" s="36"/>
      <c r="G418" s="23"/>
    </row>
    <row r="419" spans="1:7">
      <c r="A419" s="34"/>
      <c r="B419" s="35"/>
      <c r="C419" s="37"/>
      <c r="D419" s="37"/>
      <c r="G419" s="23"/>
    </row>
    <row r="420" spans="1:7">
      <c r="A420" s="34"/>
      <c r="B420" s="35"/>
      <c r="C420" s="37"/>
      <c r="D420" s="37"/>
      <c r="G420" s="23"/>
    </row>
    <row r="421" spans="1:7">
      <c r="A421" s="34"/>
      <c r="B421" s="35"/>
      <c r="C421" s="37"/>
      <c r="D421" s="37"/>
      <c r="G421" s="23"/>
    </row>
    <row r="422" spans="1:7">
      <c r="A422" s="34"/>
      <c r="B422" s="35"/>
      <c r="C422" s="37"/>
      <c r="D422" s="37"/>
      <c r="G422" s="23"/>
    </row>
    <row r="423" spans="1:7">
      <c r="A423" s="34"/>
      <c r="B423" s="35"/>
      <c r="C423" s="37"/>
      <c r="D423" s="37"/>
      <c r="G423" s="23"/>
    </row>
    <row r="424" spans="1:7">
      <c r="A424" s="34"/>
      <c r="B424" s="35"/>
      <c r="C424" s="37"/>
      <c r="D424" s="37"/>
      <c r="G424" s="23"/>
    </row>
    <row r="425" spans="1:7">
      <c r="A425" s="34"/>
      <c r="B425" s="35"/>
      <c r="C425" s="37"/>
      <c r="D425" s="37"/>
      <c r="G425" s="23"/>
    </row>
    <row r="426" spans="1:7">
      <c r="A426" s="34"/>
      <c r="B426" s="35"/>
      <c r="C426" s="37"/>
      <c r="D426" s="37"/>
      <c r="G426" s="23"/>
    </row>
    <row r="427" spans="1:7">
      <c r="A427" s="34"/>
      <c r="B427" s="35"/>
      <c r="C427" s="37"/>
      <c r="D427" s="37"/>
      <c r="G427" s="23"/>
    </row>
    <row r="428" spans="1:7">
      <c r="A428" s="34"/>
      <c r="B428" s="35"/>
      <c r="C428" s="37"/>
      <c r="D428" s="37"/>
      <c r="G428" s="23"/>
    </row>
    <row r="429" spans="1:7">
      <c r="A429" s="34"/>
      <c r="B429" s="35"/>
      <c r="C429" s="37"/>
      <c r="D429" s="37"/>
      <c r="G429" s="23"/>
    </row>
    <row r="430" spans="1:7">
      <c r="A430" s="34"/>
      <c r="B430" s="35"/>
      <c r="C430" s="37"/>
      <c r="D430" s="37"/>
      <c r="G430" s="23"/>
    </row>
    <row r="431" spans="1:7">
      <c r="A431" s="34"/>
      <c r="B431" s="35"/>
      <c r="C431" s="37"/>
      <c r="D431" s="37"/>
      <c r="G431" s="23"/>
    </row>
    <row r="432" spans="1:7">
      <c r="A432" s="34"/>
      <c r="B432" s="35"/>
      <c r="C432" s="37"/>
      <c r="D432" s="37"/>
      <c r="G432" s="23"/>
    </row>
    <row r="433" spans="1:7">
      <c r="A433" s="34"/>
      <c r="B433" s="35"/>
      <c r="C433" s="37"/>
      <c r="D433" s="37"/>
      <c r="G433" s="23"/>
    </row>
    <row r="434" spans="1:7">
      <c r="A434" s="34"/>
      <c r="B434" s="35"/>
      <c r="C434" s="37"/>
      <c r="D434" s="37"/>
      <c r="G434" s="23"/>
    </row>
    <row r="435" spans="1:7">
      <c r="A435" s="34"/>
      <c r="B435" s="35"/>
      <c r="C435" s="37"/>
      <c r="D435" s="37"/>
      <c r="G435" s="23"/>
    </row>
    <row r="436" spans="1:7">
      <c r="A436" s="34"/>
      <c r="B436" s="35"/>
      <c r="C436" s="37"/>
      <c r="D436" s="37"/>
      <c r="G436" s="23"/>
    </row>
    <row r="437" spans="1:7">
      <c r="A437" s="34"/>
      <c r="B437" s="35"/>
      <c r="C437" s="37"/>
      <c r="D437" s="37"/>
      <c r="G437" s="23"/>
    </row>
    <row r="438" spans="1:7">
      <c r="A438" s="34"/>
      <c r="B438" s="35"/>
      <c r="C438" s="37"/>
      <c r="D438" s="37"/>
      <c r="G438" s="23"/>
    </row>
    <row r="439" spans="1:7">
      <c r="A439" s="34"/>
      <c r="B439" s="35"/>
      <c r="C439" s="37"/>
      <c r="D439" s="37"/>
      <c r="G439" s="23"/>
    </row>
    <row r="440" spans="1:7">
      <c r="A440" s="34"/>
      <c r="B440" s="35"/>
      <c r="C440" s="37"/>
      <c r="D440" s="37"/>
      <c r="G440" s="23"/>
    </row>
    <row r="441" spans="1:7">
      <c r="A441" s="34"/>
      <c r="B441" s="35"/>
      <c r="C441" s="37"/>
      <c r="D441" s="37"/>
      <c r="G441" s="23"/>
    </row>
    <row r="442" spans="1:7">
      <c r="A442" s="34"/>
      <c r="B442" s="35"/>
      <c r="C442" s="37"/>
      <c r="D442" s="37"/>
      <c r="G442" s="23"/>
    </row>
    <row r="443" spans="1:7">
      <c r="A443" s="34"/>
      <c r="B443" s="35"/>
      <c r="C443" s="37"/>
      <c r="D443" s="37"/>
      <c r="G443" s="23"/>
    </row>
    <row r="444" spans="1:7">
      <c r="A444" s="34"/>
      <c r="B444" s="35"/>
      <c r="C444" s="36"/>
      <c r="D444" s="36"/>
      <c r="G444" s="23"/>
    </row>
    <row r="445" spans="1:7">
      <c r="A445" s="34"/>
      <c r="B445" s="35"/>
      <c r="C445" s="36"/>
      <c r="D445" s="36"/>
      <c r="G445" s="23"/>
    </row>
    <row r="446" spans="1:7">
      <c r="A446" s="34"/>
      <c r="B446" s="35"/>
      <c r="C446" s="36"/>
      <c r="D446" s="36"/>
      <c r="G446" s="23"/>
    </row>
    <row r="447" spans="1:7">
      <c r="A447" s="34"/>
      <c r="B447" s="35"/>
      <c r="C447" s="36"/>
      <c r="D447" s="36"/>
      <c r="G447" s="23"/>
    </row>
    <row r="448" spans="1:7">
      <c r="A448" s="34"/>
      <c r="B448" s="35"/>
      <c r="C448" s="36"/>
      <c r="D448" s="36"/>
      <c r="G448" s="23"/>
    </row>
    <row r="449" spans="1:7">
      <c r="A449" s="34"/>
      <c r="B449" s="35"/>
      <c r="C449" s="36"/>
      <c r="D449" s="36"/>
      <c r="G449" s="23"/>
    </row>
    <row r="450" spans="1:7">
      <c r="A450" s="34"/>
      <c r="B450" s="35"/>
      <c r="C450" s="36"/>
      <c r="D450" s="36"/>
      <c r="G450" s="23"/>
    </row>
    <row r="451" spans="1:7">
      <c r="A451" s="34"/>
      <c r="B451" s="35"/>
      <c r="C451" s="36"/>
      <c r="D451" s="36"/>
      <c r="G451" s="23"/>
    </row>
    <row r="452" spans="1:7">
      <c r="A452" s="34"/>
      <c r="B452" s="35"/>
      <c r="C452" s="36"/>
      <c r="D452" s="36"/>
      <c r="G452" s="23"/>
    </row>
    <row r="453" spans="1:7">
      <c r="A453" s="34"/>
      <c r="B453" s="35"/>
      <c r="C453" s="36"/>
      <c r="D453" s="36"/>
      <c r="G453" s="23"/>
    </row>
    <row r="454" spans="1:7">
      <c r="A454" s="34"/>
      <c r="B454" s="35"/>
      <c r="C454" s="36"/>
      <c r="D454" s="36"/>
      <c r="G454" s="23"/>
    </row>
    <row r="455" spans="1:7">
      <c r="A455" s="34"/>
      <c r="B455" s="35"/>
      <c r="C455" s="36"/>
      <c r="D455" s="36"/>
      <c r="G455" s="23"/>
    </row>
    <row r="456" spans="1:7">
      <c r="A456" s="34"/>
      <c r="B456" s="35"/>
      <c r="C456" s="36"/>
      <c r="D456" s="36"/>
      <c r="G456" s="23"/>
    </row>
    <row r="457" spans="1:7">
      <c r="A457" s="34"/>
      <c r="B457" s="35"/>
      <c r="C457" s="36"/>
      <c r="D457" s="36"/>
      <c r="G457" s="23"/>
    </row>
    <row r="458" spans="1:7">
      <c r="A458" s="34"/>
      <c r="B458" s="35"/>
      <c r="C458" s="36"/>
      <c r="D458" s="36"/>
      <c r="G458" s="23"/>
    </row>
    <row r="459" spans="1:7">
      <c r="A459" s="34"/>
      <c r="B459" s="35"/>
      <c r="C459" s="36"/>
      <c r="D459" s="36"/>
      <c r="G459" s="23"/>
    </row>
    <row r="460" spans="1:7">
      <c r="A460" s="34"/>
      <c r="B460" s="35"/>
      <c r="C460" s="36"/>
      <c r="D460" s="36"/>
      <c r="G460" s="23"/>
    </row>
    <row r="461" spans="1:7">
      <c r="A461" s="34"/>
      <c r="B461" s="35"/>
      <c r="C461" s="36"/>
      <c r="D461" s="36"/>
      <c r="G461" s="23"/>
    </row>
    <row r="462" spans="1:7">
      <c r="A462" s="34"/>
      <c r="B462" s="35"/>
      <c r="C462" s="36"/>
      <c r="D462" s="36"/>
      <c r="G462" s="23"/>
    </row>
    <row r="463" spans="1:7">
      <c r="A463" s="34"/>
      <c r="B463" s="35"/>
      <c r="C463" s="36"/>
      <c r="D463" s="36"/>
      <c r="G463" s="23"/>
    </row>
    <row r="464" spans="1:7">
      <c r="A464" s="34"/>
      <c r="B464" s="35"/>
      <c r="C464" s="36"/>
      <c r="D464" s="36"/>
      <c r="G464" s="23"/>
    </row>
    <row r="465" spans="1:7">
      <c r="A465" s="34"/>
      <c r="B465" s="35"/>
      <c r="C465" s="36"/>
      <c r="D465" s="36"/>
      <c r="G465" s="23"/>
    </row>
    <row r="466" spans="1:7">
      <c r="A466" s="34"/>
      <c r="B466" s="35"/>
      <c r="C466" s="36"/>
      <c r="D466" s="36"/>
      <c r="G466" s="23"/>
    </row>
    <row r="467" spans="1:7">
      <c r="A467" s="34"/>
      <c r="B467" s="35"/>
      <c r="C467" s="36"/>
      <c r="D467" s="36"/>
      <c r="G467" s="23"/>
    </row>
    <row r="468" spans="1:7">
      <c r="A468" s="34"/>
      <c r="B468" s="35"/>
      <c r="C468" s="36"/>
      <c r="D468" s="36"/>
      <c r="G468" s="23"/>
    </row>
    <row r="469" spans="1:7">
      <c r="A469" s="34"/>
      <c r="B469" s="35"/>
      <c r="C469" s="36"/>
      <c r="D469" s="36"/>
      <c r="G469" s="23"/>
    </row>
    <row r="470" spans="1:7">
      <c r="A470" s="34"/>
      <c r="B470" s="35"/>
      <c r="C470" s="36"/>
      <c r="D470" s="36"/>
      <c r="G470" s="23"/>
    </row>
    <row r="471" spans="1:7">
      <c r="A471" s="34"/>
      <c r="B471" s="35"/>
      <c r="C471" s="36"/>
      <c r="D471" s="36"/>
      <c r="G471" s="23"/>
    </row>
    <row r="472" spans="1:7">
      <c r="A472" s="34"/>
      <c r="B472" s="35"/>
      <c r="C472" s="36"/>
      <c r="D472" s="36"/>
      <c r="G472" s="23"/>
    </row>
    <row r="473" spans="1:7">
      <c r="A473" s="34"/>
      <c r="B473" s="35"/>
      <c r="C473" s="36"/>
      <c r="D473" s="36"/>
      <c r="G473" s="23"/>
    </row>
    <row r="474" spans="1:7">
      <c r="A474" s="34"/>
      <c r="B474" s="35"/>
      <c r="C474" s="36"/>
      <c r="D474" s="36"/>
      <c r="G474" s="23"/>
    </row>
    <row r="475" spans="1:7">
      <c r="A475" s="34"/>
      <c r="B475" s="35"/>
      <c r="C475" s="36"/>
      <c r="D475" s="36"/>
      <c r="G475" s="23"/>
    </row>
    <row r="476" spans="1:7">
      <c r="A476" s="34"/>
      <c r="B476" s="35"/>
      <c r="C476" s="36"/>
      <c r="D476" s="36"/>
      <c r="G476" s="23"/>
    </row>
    <row r="477" spans="1:7">
      <c r="A477" s="34"/>
      <c r="B477" s="35"/>
      <c r="C477" s="36"/>
      <c r="D477" s="36"/>
      <c r="G477" s="23"/>
    </row>
    <row r="478" spans="1:7">
      <c r="A478" s="34"/>
      <c r="B478" s="35"/>
      <c r="C478" s="36"/>
      <c r="D478" s="36"/>
      <c r="G478" s="23"/>
    </row>
    <row r="479" spans="1:7">
      <c r="A479" s="34"/>
      <c r="B479" s="35"/>
      <c r="C479" s="36"/>
      <c r="D479" s="36"/>
      <c r="G479" s="23"/>
    </row>
    <row r="480" spans="1:7">
      <c r="A480" s="34"/>
      <c r="B480" s="35"/>
      <c r="C480" s="36"/>
      <c r="D480" s="36"/>
      <c r="G480" s="23"/>
    </row>
    <row r="481" spans="1:7">
      <c r="A481" s="34"/>
      <c r="B481" s="35"/>
      <c r="C481" s="36"/>
      <c r="D481" s="36"/>
      <c r="G481" s="23"/>
    </row>
    <row r="482" spans="1:7">
      <c r="A482" s="34"/>
      <c r="B482" s="35"/>
      <c r="C482" s="36"/>
      <c r="D482" s="36"/>
      <c r="G482" s="23"/>
    </row>
    <row r="483" spans="1:7">
      <c r="A483" s="34"/>
      <c r="B483" s="35"/>
      <c r="C483" s="36"/>
      <c r="D483" s="36"/>
      <c r="G483" s="23"/>
    </row>
    <row r="484" spans="1:7">
      <c r="A484" s="34"/>
      <c r="B484" s="35"/>
      <c r="C484" s="36"/>
      <c r="D484" s="36"/>
      <c r="G484" s="23"/>
    </row>
    <row r="485" spans="1:7">
      <c r="A485" s="34"/>
      <c r="B485" s="35"/>
      <c r="C485" s="36"/>
      <c r="D485" s="36"/>
      <c r="G485" s="23"/>
    </row>
    <row r="486" spans="1:7">
      <c r="A486" s="34"/>
      <c r="B486" s="35"/>
      <c r="C486" s="36"/>
      <c r="D486" s="36"/>
      <c r="G486" s="23"/>
    </row>
    <row r="487" spans="1:7">
      <c r="A487" s="34"/>
      <c r="B487" s="35"/>
      <c r="C487" s="36"/>
      <c r="D487" s="36"/>
      <c r="G487" s="23"/>
    </row>
    <row r="488" spans="1:7">
      <c r="A488" s="34"/>
      <c r="B488" s="35"/>
      <c r="C488" s="36"/>
      <c r="D488" s="36"/>
      <c r="G488" s="23"/>
    </row>
    <row r="489" spans="1:7">
      <c r="A489" s="34"/>
      <c r="B489" s="35"/>
      <c r="C489" s="36"/>
      <c r="D489" s="36"/>
      <c r="G489" s="23"/>
    </row>
    <row r="490" spans="1:7">
      <c r="A490" s="34"/>
      <c r="B490" s="35"/>
      <c r="C490" s="36"/>
      <c r="D490" s="36"/>
      <c r="G490" s="23"/>
    </row>
    <row r="491" spans="1:7">
      <c r="A491" s="34"/>
      <c r="B491" s="35"/>
      <c r="C491" s="36"/>
      <c r="D491" s="36"/>
      <c r="G491" s="23"/>
    </row>
    <row r="492" spans="1:7">
      <c r="A492" s="34"/>
      <c r="B492" s="35"/>
      <c r="C492" s="36"/>
      <c r="D492" s="36"/>
      <c r="G492" s="23"/>
    </row>
    <row r="493" spans="1:7">
      <c r="A493" s="34"/>
      <c r="B493" s="35"/>
      <c r="C493" s="36"/>
      <c r="D493" s="36"/>
      <c r="G493" s="23"/>
    </row>
    <row r="494" spans="1:7">
      <c r="A494" s="34"/>
      <c r="B494" s="35"/>
      <c r="C494" s="36"/>
      <c r="D494" s="36"/>
      <c r="G494" s="23"/>
    </row>
    <row r="495" spans="1:7">
      <c r="A495" s="34"/>
      <c r="B495" s="35"/>
      <c r="C495" s="36"/>
      <c r="D495" s="36"/>
      <c r="G495" s="23"/>
    </row>
    <row r="496" spans="1:7">
      <c r="A496" s="34"/>
      <c r="B496" s="35"/>
      <c r="C496" s="36"/>
      <c r="D496" s="36"/>
      <c r="G496" s="23"/>
    </row>
    <row r="497" spans="1:7">
      <c r="A497" s="34"/>
      <c r="B497" s="35"/>
      <c r="C497" s="36"/>
      <c r="D497" s="36"/>
      <c r="G497" s="23"/>
    </row>
    <row r="498" spans="1:7">
      <c r="A498" s="34"/>
      <c r="B498" s="35"/>
      <c r="C498" s="36"/>
      <c r="D498" s="36"/>
      <c r="G498" s="23"/>
    </row>
    <row r="499" spans="1:7">
      <c r="A499" s="34"/>
      <c r="B499" s="35"/>
      <c r="C499" s="36"/>
      <c r="D499" s="36"/>
      <c r="G499" s="23"/>
    </row>
    <row r="500" spans="1:7">
      <c r="A500" s="34"/>
      <c r="B500" s="35"/>
      <c r="C500" s="36"/>
      <c r="D500" s="36"/>
      <c r="G500" s="23"/>
    </row>
    <row r="501" spans="1:7">
      <c r="A501" s="34"/>
      <c r="B501" s="35"/>
      <c r="C501" s="36"/>
      <c r="D501" s="36"/>
      <c r="G501" s="23"/>
    </row>
    <row r="502" spans="1:7">
      <c r="A502" s="34"/>
      <c r="B502" s="35"/>
      <c r="C502" s="36"/>
      <c r="D502" s="36"/>
      <c r="G502" s="23"/>
    </row>
    <row r="503" spans="1:7">
      <c r="A503" s="34"/>
      <c r="B503" s="35"/>
      <c r="C503" s="36"/>
      <c r="D503" s="36"/>
      <c r="G503" s="23"/>
    </row>
    <row r="504" spans="1:7">
      <c r="A504" s="34"/>
      <c r="B504" s="35"/>
      <c r="C504" s="36"/>
      <c r="D504" s="36"/>
      <c r="G504" s="23"/>
    </row>
    <row r="505" spans="1:7">
      <c r="A505" s="34"/>
      <c r="B505" s="35"/>
      <c r="C505" s="36"/>
      <c r="D505" s="36"/>
      <c r="G505" s="23"/>
    </row>
    <row r="506" spans="1:7">
      <c r="A506" s="34"/>
      <c r="B506" s="35"/>
      <c r="C506" s="36"/>
      <c r="D506" s="36"/>
      <c r="G506" s="23"/>
    </row>
    <row r="507" spans="1:7">
      <c r="A507" s="34"/>
      <c r="B507" s="35"/>
      <c r="C507" s="36"/>
      <c r="D507" s="36"/>
      <c r="G507" s="23"/>
    </row>
    <row r="508" spans="1:7">
      <c r="A508" s="34"/>
      <c r="B508" s="35"/>
      <c r="C508" s="36"/>
      <c r="D508" s="36"/>
      <c r="G508" s="23"/>
    </row>
    <row r="509" spans="1:7">
      <c r="A509" s="34"/>
      <c r="B509" s="35"/>
      <c r="C509" s="36"/>
      <c r="D509" s="36"/>
      <c r="G509" s="23"/>
    </row>
    <row r="510" spans="1:7">
      <c r="A510" s="34"/>
      <c r="B510" s="35"/>
      <c r="C510" s="36"/>
      <c r="D510" s="36"/>
      <c r="G510" s="23"/>
    </row>
    <row r="511" spans="1:7">
      <c r="A511" s="34"/>
      <c r="B511" s="35"/>
      <c r="C511" s="36"/>
      <c r="D511" s="36"/>
      <c r="G511" s="23"/>
    </row>
    <row r="512" spans="1:7">
      <c r="A512" s="34"/>
      <c r="B512" s="35"/>
      <c r="C512" s="36"/>
      <c r="D512" s="36"/>
      <c r="G512" s="23"/>
    </row>
    <row r="513" spans="1:7">
      <c r="A513" s="34"/>
      <c r="B513" s="35"/>
      <c r="C513" s="36"/>
      <c r="D513" s="36"/>
      <c r="G513" s="23"/>
    </row>
    <row r="514" spans="1:7">
      <c r="A514" s="34"/>
      <c r="B514" s="35"/>
      <c r="C514" s="36"/>
      <c r="D514" s="36"/>
      <c r="G514" s="23"/>
    </row>
    <row r="515" spans="1:7">
      <c r="A515" s="34"/>
      <c r="B515" s="35"/>
      <c r="C515" s="36"/>
      <c r="D515" s="36"/>
      <c r="G515" s="23"/>
    </row>
    <row r="516" spans="1:7">
      <c r="A516" s="34"/>
      <c r="B516" s="35"/>
      <c r="C516" s="36"/>
      <c r="D516" s="36"/>
      <c r="G516" s="23"/>
    </row>
    <row r="517" spans="1:7">
      <c r="A517" s="34"/>
      <c r="B517" s="35"/>
      <c r="C517" s="36"/>
      <c r="D517" s="36"/>
      <c r="G517" s="23"/>
    </row>
    <row r="518" spans="1:7">
      <c r="A518" s="34"/>
      <c r="B518" s="35"/>
      <c r="C518" s="36"/>
      <c r="D518" s="36"/>
      <c r="G518" s="23"/>
    </row>
    <row r="519" spans="1:7">
      <c r="A519" s="34"/>
      <c r="B519" s="35"/>
      <c r="C519" s="36"/>
      <c r="D519" s="36"/>
      <c r="G519" s="23"/>
    </row>
    <row r="520" spans="1:7">
      <c r="A520" s="34"/>
      <c r="B520" s="35"/>
      <c r="C520" s="36"/>
      <c r="D520" s="36"/>
      <c r="G520" s="23"/>
    </row>
    <row r="521" spans="1:7">
      <c r="A521" s="34"/>
      <c r="B521" s="35"/>
      <c r="C521" s="36"/>
      <c r="D521" s="36"/>
      <c r="G521" s="23"/>
    </row>
    <row r="522" spans="1:7">
      <c r="A522" s="34"/>
      <c r="B522" s="35"/>
      <c r="C522" s="36"/>
      <c r="D522" s="36"/>
      <c r="G522" s="23"/>
    </row>
    <row r="523" spans="1:7">
      <c r="A523" s="34"/>
      <c r="B523" s="35"/>
      <c r="C523" s="36"/>
      <c r="D523" s="36"/>
      <c r="G523" s="23"/>
    </row>
    <row r="524" spans="1:7">
      <c r="A524" s="34"/>
      <c r="B524" s="35"/>
      <c r="C524" s="36"/>
      <c r="D524" s="36"/>
      <c r="G524" s="23"/>
    </row>
    <row r="525" spans="1:7">
      <c r="A525" s="34"/>
      <c r="B525" s="35"/>
      <c r="C525" s="36"/>
      <c r="D525" s="36"/>
      <c r="G525" s="23"/>
    </row>
    <row r="526" spans="1:7">
      <c r="A526" s="34"/>
      <c r="B526" s="35"/>
      <c r="C526" s="36"/>
      <c r="D526" s="36"/>
      <c r="G526" s="23"/>
    </row>
    <row r="527" spans="1:7">
      <c r="A527" s="34"/>
      <c r="B527" s="35"/>
      <c r="C527" s="36"/>
      <c r="D527" s="36"/>
      <c r="G527" s="23"/>
    </row>
    <row r="528" spans="1:7">
      <c r="A528" s="34"/>
      <c r="B528" s="35"/>
      <c r="C528" s="36"/>
      <c r="D528" s="36"/>
      <c r="G528" s="23"/>
    </row>
    <row r="529" spans="1:7">
      <c r="A529" s="34"/>
      <c r="B529" s="35"/>
      <c r="C529" s="36"/>
      <c r="D529" s="36"/>
      <c r="G529" s="23"/>
    </row>
    <row r="530" spans="1:7">
      <c r="A530" s="34"/>
      <c r="B530" s="35"/>
      <c r="C530" s="36"/>
      <c r="D530" s="36"/>
      <c r="G530" s="23"/>
    </row>
    <row r="531" spans="1:7">
      <c r="A531" s="34"/>
      <c r="B531" s="35"/>
      <c r="C531" s="36"/>
      <c r="D531" s="36"/>
      <c r="G531" s="23"/>
    </row>
    <row r="532" spans="1:7">
      <c r="A532" s="34"/>
      <c r="B532" s="35"/>
      <c r="C532" s="36"/>
      <c r="D532" s="36"/>
      <c r="G532" s="23"/>
    </row>
    <row r="533" spans="1:7">
      <c r="A533" s="34"/>
      <c r="B533" s="35"/>
      <c r="C533" s="36"/>
      <c r="D533" s="36"/>
      <c r="G533" s="23"/>
    </row>
    <row r="534" spans="1:7">
      <c r="A534" s="34"/>
      <c r="B534" s="35"/>
      <c r="C534" s="36"/>
      <c r="D534" s="36"/>
      <c r="G534" s="23"/>
    </row>
    <row r="535" spans="1:7">
      <c r="A535" s="34"/>
      <c r="B535" s="35"/>
      <c r="C535" s="36"/>
      <c r="D535" s="36"/>
      <c r="G535" s="23"/>
    </row>
    <row r="536" spans="1:7">
      <c r="A536" s="34"/>
      <c r="B536" s="35"/>
      <c r="C536" s="36"/>
      <c r="D536" s="36"/>
      <c r="G536" s="23"/>
    </row>
    <row r="537" spans="1:7">
      <c r="A537" s="34"/>
      <c r="B537" s="35"/>
      <c r="C537" s="36"/>
      <c r="D537" s="36"/>
      <c r="G537" s="23"/>
    </row>
    <row r="538" spans="1:7">
      <c r="A538" s="34"/>
      <c r="B538" s="35"/>
      <c r="C538" s="36"/>
      <c r="D538" s="36"/>
      <c r="G538" s="23"/>
    </row>
    <row r="539" spans="1:7">
      <c r="A539" s="34"/>
      <c r="B539" s="35"/>
      <c r="C539" s="36"/>
      <c r="D539" s="36"/>
      <c r="G539" s="23"/>
    </row>
    <row r="540" spans="1:7">
      <c r="A540" s="34"/>
      <c r="B540" s="35"/>
      <c r="C540" s="36"/>
      <c r="D540" s="36"/>
      <c r="G540" s="23"/>
    </row>
    <row r="541" spans="1:7">
      <c r="A541" s="34"/>
      <c r="B541" s="35"/>
      <c r="C541" s="36"/>
      <c r="D541" s="36"/>
      <c r="G541" s="23"/>
    </row>
    <row r="542" spans="1:7">
      <c r="A542" s="34"/>
      <c r="B542" s="35"/>
      <c r="C542" s="36"/>
      <c r="D542" s="36"/>
      <c r="G542" s="23"/>
    </row>
    <row r="543" spans="1:7">
      <c r="A543" s="34"/>
      <c r="B543" s="35"/>
      <c r="C543" s="36"/>
      <c r="D543" s="36"/>
      <c r="G543" s="23"/>
    </row>
    <row r="544" spans="1:7">
      <c r="A544" s="34"/>
      <c r="B544" s="35"/>
      <c r="C544" s="36"/>
      <c r="D544" s="36"/>
      <c r="G544" s="23"/>
    </row>
    <row r="545" spans="1:7">
      <c r="A545" s="34"/>
      <c r="B545" s="35"/>
      <c r="C545" s="36"/>
      <c r="D545" s="36"/>
      <c r="G545" s="23"/>
    </row>
    <row r="546" spans="1:7">
      <c r="A546" s="34"/>
      <c r="B546" s="35"/>
      <c r="C546" s="36"/>
      <c r="D546" s="36"/>
      <c r="G546" s="23"/>
    </row>
    <row r="547" spans="1:7">
      <c r="A547" s="34"/>
      <c r="B547" s="35"/>
      <c r="C547" s="36"/>
      <c r="D547" s="36"/>
      <c r="G547" s="23"/>
    </row>
    <row r="548" spans="1:7">
      <c r="A548" s="34"/>
      <c r="B548" s="35"/>
      <c r="C548" s="36"/>
      <c r="D548" s="36"/>
      <c r="G548" s="23"/>
    </row>
    <row r="549" spans="1:7">
      <c r="A549" s="34"/>
      <c r="B549" s="35"/>
      <c r="C549" s="36"/>
      <c r="D549" s="36"/>
      <c r="G549" s="23"/>
    </row>
    <row r="550" spans="1:7">
      <c r="A550" s="34"/>
      <c r="B550" s="35"/>
      <c r="C550" s="36"/>
      <c r="D550" s="36"/>
      <c r="G550" s="23"/>
    </row>
    <row r="551" spans="1:7">
      <c r="A551" s="34"/>
      <c r="B551" s="35"/>
      <c r="C551" s="36"/>
      <c r="D551" s="36"/>
      <c r="G551" s="23"/>
    </row>
    <row r="552" spans="1:7">
      <c r="A552" s="34"/>
      <c r="B552" s="35"/>
      <c r="C552" s="36"/>
      <c r="D552" s="36"/>
      <c r="G552" s="23"/>
    </row>
    <row r="553" spans="1:7">
      <c r="A553" s="34"/>
      <c r="B553" s="35"/>
      <c r="C553" s="36"/>
      <c r="D553" s="36"/>
      <c r="G553" s="23"/>
    </row>
    <row r="554" spans="1:7">
      <c r="A554" s="34"/>
      <c r="B554" s="35"/>
      <c r="C554" s="36"/>
      <c r="D554" s="36"/>
      <c r="G554" s="23"/>
    </row>
    <row r="555" spans="1:7">
      <c r="A555" s="34"/>
      <c r="B555" s="35"/>
      <c r="C555" s="36"/>
      <c r="D555" s="36"/>
      <c r="G555" s="23"/>
    </row>
    <row r="556" spans="1:7">
      <c r="A556" s="34"/>
      <c r="B556" s="35"/>
      <c r="C556" s="36"/>
      <c r="D556" s="36"/>
      <c r="G556" s="23"/>
    </row>
    <row r="557" spans="1:7">
      <c r="A557" s="34"/>
      <c r="B557" s="35"/>
      <c r="C557" s="36"/>
      <c r="D557" s="36"/>
      <c r="G557" s="23"/>
    </row>
    <row r="558" spans="1:7">
      <c r="A558" s="34"/>
      <c r="B558" s="35"/>
      <c r="C558" s="36"/>
      <c r="D558" s="36"/>
      <c r="G558" s="23"/>
    </row>
    <row r="559" spans="1:7">
      <c r="A559" s="34"/>
      <c r="B559" s="35"/>
      <c r="C559" s="36"/>
      <c r="D559" s="36"/>
      <c r="G559" s="23"/>
    </row>
    <row r="560" spans="1:7">
      <c r="A560" s="34"/>
      <c r="B560" s="35"/>
      <c r="C560" s="36"/>
      <c r="D560" s="36"/>
      <c r="G560" s="23"/>
    </row>
    <row r="561" spans="1:7">
      <c r="A561" s="34"/>
      <c r="B561" s="35"/>
      <c r="C561" s="36"/>
      <c r="D561" s="36"/>
      <c r="G561" s="23"/>
    </row>
    <row r="562" spans="1:7">
      <c r="A562" s="34"/>
      <c r="B562" s="35"/>
      <c r="C562" s="36"/>
      <c r="D562" s="36"/>
      <c r="G562" s="23"/>
    </row>
    <row r="563" spans="1:7">
      <c r="A563" s="34"/>
      <c r="B563" s="35"/>
      <c r="C563" s="36"/>
      <c r="D563" s="36"/>
      <c r="G563" s="23"/>
    </row>
    <row r="564" spans="1:7">
      <c r="A564" s="34"/>
      <c r="B564" s="35"/>
      <c r="C564" s="36"/>
      <c r="D564" s="36"/>
      <c r="G564" s="23"/>
    </row>
    <row r="565" spans="1:7">
      <c r="A565" s="34"/>
      <c r="B565" s="35"/>
      <c r="C565" s="36"/>
      <c r="D565" s="36"/>
      <c r="G565" s="23"/>
    </row>
    <row r="566" spans="1:7">
      <c r="A566" s="34"/>
      <c r="B566" s="35"/>
      <c r="C566" s="36"/>
      <c r="D566" s="36"/>
      <c r="G566" s="23"/>
    </row>
    <row r="567" spans="1:7">
      <c r="A567" s="34"/>
      <c r="B567" s="35"/>
      <c r="C567" s="36"/>
      <c r="D567" s="36"/>
      <c r="G567" s="23"/>
    </row>
    <row r="568" spans="1:7">
      <c r="A568" s="34"/>
      <c r="B568" s="35"/>
      <c r="C568" s="36"/>
      <c r="D568" s="36"/>
      <c r="G568" s="23"/>
    </row>
    <row r="569" spans="1:7">
      <c r="A569" s="34"/>
      <c r="B569" s="35"/>
      <c r="C569" s="36"/>
      <c r="D569" s="36"/>
      <c r="G569" s="23"/>
    </row>
    <row r="570" spans="1:7">
      <c r="A570" s="34"/>
      <c r="B570" s="35"/>
      <c r="C570" s="36"/>
      <c r="D570" s="36"/>
      <c r="G570" s="23"/>
    </row>
    <row r="571" spans="1:7">
      <c r="A571" s="34"/>
      <c r="B571" s="35"/>
      <c r="C571" s="36"/>
      <c r="D571" s="36"/>
      <c r="G571" s="23"/>
    </row>
    <row r="572" spans="1:7">
      <c r="A572" s="34"/>
      <c r="B572" s="35"/>
      <c r="C572" s="36"/>
      <c r="D572" s="36"/>
      <c r="G572" s="23"/>
    </row>
    <row r="573" spans="1:7">
      <c r="A573" s="34"/>
      <c r="B573" s="35"/>
      <c r="C573" s="36"/>
      <c r="D573" s="36"/>
      <c r="G573" s="23"/>
    </row>
    <row r="574" spans="1:7">
      <c r="A574" s="34"/>
      <c r="B574" s="35"/>
      <c r="C574" s="36"/>
      <c r="D574" s="36"/>
      <c r="G574" s="23"/>
    </row>
    <row r="575" spans="1:7">
      <c r="A575" s="34"/>
      <c r="B575" s="35"/>
      <c r="C575" s="36"/>
      <c r="D575" s="36"/>
      <c r="G575" s="23"/>
    </row>
    <row r="576" spans="1:7">
      <c r="A576" s="34"/>
      <c r="B576" s="35"/>
      <c r="C576" s="36"/>
      <c r="D576" s="36"/>
      <c r="G576" s="23"/>
    </row>
    <row r="577" spans="1:7">
      <c r="A577" s="34"/>
      <c r="B577" s="35"/>
      <c r="C577" s="36"/>
      <c r="D577" s="36"/>
      <c r="G577" s="23"/>
    </row>
    <row r="578" spans="1:7">
      <c r="A578" s="38"/>
      <c r="B578" s="39"/>
      <c r="C578" s="32"/>
      <c r="D578" s="32"/>
      <c r="G578" s="23"/>
    </row>
    <row r="579" spans="1:7">
      <c r="A579" s="38"/>
      <c r="B579" s="39"/>
      <c r="C579" s="32"/>
      <c r="D579" s="32"/>
      <c r="G579" s="23"/>
    </row>
    <row r="580" spans="1:7">
      <c r="A580" s="38"/>
      <c r="B580" s="39"/>
      <c r="C580" s="32"/>
      <c r="D580" s="32"/>
      <c r="G580" s="23"/>
    </row>
    <row r="581" spans="1:7">
      <c r="A581" s="38"/>
      <c r="B581" s="39"/>
      <c r="C581" s="32"/>
      <c r="D581" s="32"/>
      <c r="G581" s="23"/>
    </row>
    <row r="582" spans="1:7">
      <c r="A582" s="38"/>
      <c r="B582" s="39"/>
      <c r="C582" s="32"/>
      <c r="D582" s="32"/>
      <c r="G582" s="23"/>
    </row>
    <row r="583" spans="1:7">
      <c r="A583" s="38"/>
      <c r="B583" s="39"/>
      <c r="C583" s="32"/>
      <c r="D583" s="32"/>
      <c r="G583" s="23"/>
    </row>
    <row r="584" spans="1:7">
      <c r="A584" s="38"/>
      <c r="B584" s="39"/>
      <c r="C584" s="32"/>
      <c r="D584" s="32"/>
      <c r="G584" s="23"/>
    </row>
    <row r="585" spans="1:7">
      <c r="A585" s="38"/>
      <c r="B585" s="39"/>
      <c r="C585" s="32"/>
      <c r="D585" s="32"/>
      <c r="G585" s="23"/>
    </row>
    <row r="586" spans="1:7">
      <c r="A586" s="38"/>
      <c r="B586" s="39"/>
      <c r="C586" s="32"/>
      <c r="D586" s="32"/>
      <c r="G586" s="23"/>
    </row>
    <row r="587" spans="1:7">
      <c r="A587" s="38"/>
      <c r="B587" s="39"/>
      <c r="C587" s="32"/>
      <c r="D587" s="32"/>
      <c r="G587" s="23"/>
    </row>
    <row r="588" spans="1:7">
      <c r="A588" s="38"/>
      <c r="B588" s="39"/>
      <c r="C588" s="32"/>
      <c r="D588" s="32"/>
      <c r="G588" s="23"/>
    </row>
    <row r="589" spans="1:7">
      <c r="A589" s="38"/>
      <c r="B589" s="39"/>
      <c r="C589" s="32"/>
      <c r="D589" s="32"/>
      <c r="G589" s="23"/>
    </row>
    <row r="590" spans="1:7">
      <c r="A590" s="38"/>
      <c r="B590" s="39"/>
      <c r="C590" s="32"/>
      <c r="D590" s="32"/>
      <c r="G590" s="23"/>
    </row>
    <row r="591" spans="1:7">
      <c r="A591" s="38"/>
      <c r="B591" s="39"/>
      <c r="C591" s="32"/>
      <c r="D591" s="32"/>
      <c r="G591" s="23"/>
    </row>
    <row r="592" spans="1:7">
      <c r="A592" s="38"/>
      <c r="B592" s="39"/>
      <c r="C592" s="32"/>
      <c r="D592" s="32"/>
      <c r="G592" s="23"/>
    </row>
    <row r="593" spans="1:7">
      <c r="A593" s="38"/>
      <c r="B593" s="39"/>
      <c r="C593" s="32"/>
      <c r="D593" s="32"/>
      <c r="G593" s="23"/>
    </row>
    <row r="594" spans="1:7">
      <c r="A594" s="38"/>
      <c r="B594" s="39"/>
      <c r="C594" s="32"/>
      <c r="D594" s="32"/>
      <c r="G594" s="23"/>
    </row>
    <row r="595" spans="1:7">
      <c r="A595" s="38"/>
      <c r="B595" s="39"/>
      <c r="C595" s="32"/>
      <c r="D595" s="32"/>
      <c r="G595" s="23"/>
    </row>
    <row r="596" spans="1:7">
      <c r="A596" s="38"/>
      <c r="B596" s="39"/>
      <c r="C596" s="32"/>
      <c r="D596" s="32"/>
      <c r="G596" s="23"/>
    </row>
    <row r="597" spans="1:7">
      <c r="A597" s="38"/>
      <c r="B597" s="39"/>
      <c r="C597" s="32"/>
      <c r="D597" s="32"/>
      <c r="G597" s="23"/>
    </row>
    <row r="598" spans="1:7">
      <c r="A598" s="38"/>
      <c r="B598" s="39"/>
      <c r="C598" s="32"/>
      <c r="D598" s="32"/>
      <c r="G598" s="23"/>
    </row>
    <row r="599" spans="1:7">
      <c r="A599" s="38"/>
      <c r="B599" s="39"/>
      <c r="C599" s="32"/>
      <c r="D599" s="32"/>
      <c r="G599" s="23"/>
    </row>
    <row r="600" spans="1:7">
      <c r="A600" s="38"/>
      <c r="B600" s="39"/>
      <c r="C600" s="32"/>
      <c r="D600" s="32"/>
      <c r="G600" s="23"/>
    </row>
    <row r="601" spans="1:7">
      <c r="A601" s="38"/>
      <c r="B601" s="39"/>
      <c r="C601" s="32"/>
      <c r="D601" s="32"/>
      <c r="G601" s="23"/>
    </row>
    <row r="602" spans="1:7">
      <c r="A602" s="38"/>
      <c r="B602" s="39"/>
      <c r="C602" s="32"/>
      <c r="D602" s="32"/>
      <c r="G602" s="23"/>
    </row>
    <row r="603" spans="1:7">
      <c r="A603" s="38"/>
      <c r="B603" s="39"/>
      <c r="C603" s="32"/>
      <c r="D603" s="32"/>
      <c r="G603" s="23"/>
    </row>
    <row r="604" spans="1:7">
      <c r="A604" s="38"/>
      <c r="B604" s="39"/>
      <c r="C604" s="32"/>
      <c r="D604" s="32"/>
      <c r="G604" s="23"/>
    </row>
    <row r="605" spans="1:7">
      <c r="A605" s="38"/>
      <c r="B605" s="39"/>
      <c r="C605" s="32"/>
      <c r="D605" s="32"/>
      <c r="G605" s="23"/>
    </row>
    <row r="606" spans="1:7">
      <c r="A606" s="38"/>
      <c r="B606" s="39"/>
      <c r="C606" s="32"/>
      <c r="D606" s="32"/>
      <c r="G606" s="23"/>
    </row>
    <row r="607" spans="1:7">
      <c r="A607" s="38"/>
      <c r="B607" s="39"/>
      <c r="C607" s="32"/>
      <c r="D607" s="32"/>
      <c r="G607" s="23"/>
    </row>
    <row r="608" spans="1:7">
      <c r="A608" s="38"/>
      <c r="B608" s="39"/>
      <c r="C608" s="32"/>
      <c r="D608" s="32"/>
      <c r="G608" s="23"/>
    </row>
    <row r="609" spans="1:7">
      <c r="A609" s="38"/>
      <c r="B609" s="39"/>
      <c r="C609" s="32"/>
      <c r="D609" s="32"/>
      <c r="G609" s="23"/>
    </row>
    <row r="610" spans="1:7">
      <c r="A610" s="38"/>
      <c r="B610" s="39"/>
      <c r="C610" s="32"/>
      <c r="D610" s="32"/>
      <c r="G610" s="23"/>
    </row>
    <row r="611" spans="1:7">
      <c r="A611" s="38"/>
      <c r="B611" s="39"/>
      <c r="C611" s="32"/>
      <c r="D611" s="32"/>
      <c r="G611" s="23"/>
    </row>
    <row r="612" spans="1:7">
      <c r="A612" s="38"/>
      <c r="B612" s="39"/>
      <c r="C612" s="32"/>
      <c r="D612" s="32"/>
      <c r="G612" s="23"/>
    </row>
    <row r="613" spans="1:7">
      <c r="A613" s="38"/>
      <c r="B613" s="39"/>
      <c r="C613" s="32"/>
      <c r="D613" s="32"/>
      <c r="G613" s="23"/>
    </row>
    <row r="614" spans="1:7">
      <c r="A614" s="38"/>
      <c r="B614" s="39"/>
      <c r="C614" s="32"/>
      <c r="D614" s="32"/>
      <c r="G614" s="23"/>
    </row>
    <row r="615" spans="1:7">
      <c r="A615" s="38"/>
      <c r="B615" s="39"/>
      <c r="C615" s="32"/>
      <c r="D615" s="32"/>
      <c r="G615" s="23"/>
    </row>
    <row r="616" spans="1:7">
      <c r="A616" s="38"/>
      <c r="B616" s="39"/>
      <c r="C616" s="32"/>
      <c r="D616" s="32"/>
      <c r="G616" s="23"/>
    </row>
    <row r="617" spans="1:7">
      <c r="A617" s="38"/>
      <c r="B617" s="39"/>
      <c r="C617" s="32"/>
      <c r="D617" s="32"/>
      <c r="G617" s="23"/>
    </row>
    <row r="618" spans="1:7">
      <c r="A618" s="38"/>
      <c r="B618" s="39"/>
      <c r="C618" s="32"/>
      <c r="D618" s="32"/>
      <c r="G618" s="23"/>
    </row>
    <row r="619" spans="1:7">
      <c r="A619" s="38"/>
      <c r="B619" s="39"/>
      <c r="C619" s="32"/>
      <c r="D619" s="32"/>
      <c r="G619" s="23"/>
    </row>
    <row r="620" spans="1:7">
      <c r="A620" s="38"/>
      <c r="B620" s="39"/>
      <c r="C620" s="32"/>
      <c r="D620" s="32"/>
      <c r="G620" s="23"/>
    </row>
    <row r="621" spans="1:7">
      <c r="A621" s="38"/>
      <c r="B621" s="39"/>
      <c r="C621" s="32"/>
      <c r="D621" s="32"/>
      <c r="G621" s="23"/>
    </row>
    <row r="622" spans="1:7">
      <c r="A622" s="38"/>
      <c r="B622" s="39"/>
      <c r="C622" s="32"/>
      <c r="D622" s="32"/>
      <c r="G622" s="23"/>
    </row>
    <row r="623" spans="1:7">
      <c r="A623" s="38"/>
      <c r="B623" s="39"/>
      <c r="C623" s="32"/>
      <c r="D623" s="32"/>
      <c r="G623" s="23"/>
    </row>
    <row r="624" spans="1:7">
      <c r="A624" s="38"/>
      <c r="B624" s="39"/>
      <c r="C624" s="32"/>
      <c r="D624" s="32"/>
      <c r="G624" s="23"/>
    </row>
    <row r="625" spans="1:7">
      <c r="A625" s="38"/>
      <c r="B625" s="39"/>
      <c r="C625" s="32"/>
      <c r="D625" s="32"/>
      <c r="G625" s="23"/>
    </row>
    <row r="626" spans="1:7">
      <c r="A626" s="38"/>
      <c r="B626" s="39"/>
      <c r="C626" s="32"/>
      <c r="D626" s="32"/>
      <c r="G626" s="23"/>
    </row>
    <row r="627" spans="1:7">
      <c r="A627" s="38"/>
      <c r="B627" s="39"/>
      <c r="C627" s="32"/>
      <c r="D627" s="32"/>
      <c r="G627" s="23"/>
    </row>
    <row r="628" spans="1:7">
      <c r="A628" s="38"/>
      <c r="B628" s="39"/>
      <c r="C628" s="32"/>
      <c r="D628" s="32"/>
      <c r="G628" s="23"/>
    </row>
    <row r="629" spans="1:7">
      <c r="A629" s="38"/>
      <c r="B629" s="39"/>
      <c r="C629" s="32"/>
      <c r="D629" s="32"/>
      <c r="G629" s="23"/>
    </row>
    <row r="630" spans="1:7">
      <c r="A630" s="38"/>
      <c r="B630" s="39"/>
      <c r="C630" s="32"/>
      <c r="D630" s="32"/>
      <c r="G630" s="23"/>
    </row>
    <row r="631" spans="1:7">
      <c r="A631" s="38"/>
      <c r="B631" s="39"/>
      <c r="C631" s="32"/>
      <c r="D631" s="32"/>
      <c r="G631" s="23"/>
    </row>
    <row r="632" spans="1:7">
      <c r="A632" s="38"/>
      <c r="B632" s="39"/>
      <c r="C632" s="32"/>
      <c r="D632" s="32"/>
      <c r="G632" s="23"/>
    </row>
    <row r="633" spans="1:7">
      <c r="A633" s="38"/>
      <c r="B633" s="39"/>
      <c r="C633" s="32"/>
      <c r="D633" s="32"/>
      <c r="G633" s="23"/>
    </row>
    <row r="634" spans="1:7">
      <c r="A634" s="38"/>
      <c r="B634" s="39"/>
      <c r="C634" s="32"/>
      <c r="D634" s="32"/>
      <c r="G634" s="23"/>
    </row>
    <row r="635" spans="1:7">
      <c r="A635" s="38"/>
      <c r="B635" s="39"/>
      <c r="C635" s="32"/>
      <c r="D635" s="32"/>
      <c r="G635" s="23"/>
    </row>
    <row r="636" spans="1:7">
      <c r="A636" s="38"/>
      <c r="B636" s="39"/>
      <c r="C636" s="32"/>
      <c r="D636" s="32"/>
      <c r="G636" s="23"/>
    </row>
    <row r="637" spans="1:7">
      <c r="A637" s="38"/>
      <c r="B637" s="39"/>
      <c r="C637" s="32"/>
      <c r="D637" s="32"/>
      <c r="G637" s="23"/>
    </row>
    <row r="638" spans="1:7">
      <c r="A638" s="38"/>
      <c r="B638" s="39"/>
      <c r="C638" s="32"/>
      <c r="D638" s="32"/>
      <c r="G638" s="23"/>
    </row>
    <row r="639" spans="1:7">
      <c r="A639" s="38"/>
      <c r="B639" s="39"/>
      <c r="C639" s="32"/>
      <c r="D639" s="32"/>
      <c r="G639" s="23"/>
    </row>
    <row r="640" spans="1:7">
      <c r="A640" s="38"/>
      <c r="B640" s="39"/>
      <c r="C640" s="32"/>
      <c r="D640" s="32"/>
      <c r="G640" s="23"/>
    </row>
    <row r="641" spans="1:7">
      <c r="A641" s="38"/>
      <c r="B641" s="39"/>
      <c r="C641" s="32"/>
      <c r="D641" s="32"/>
      <c r="G641" s="23"/>
    </row>
    <row r="642" spans="1:7">
      <c r="A642" s="38"/>
      <c r="B642" s="39"/>
      <c r="C642" s="32"/>
      <c r="D642" s="32"/>
      <c r="G642" s="23"/>
    </row>
    <row r="643" spans="1:7">
      <c r="A643" s="38"/>
      <c r="B643" s="39"/>
      <c r="C643" s="32"/>
      <c r="D643" s="32"/>
      <c r="G643" s="23"/>
    </row>
    <row r="644" spans="1:7">
      <c r="A644" s="38"/>
      <c r="B644" s="39"/>
      <c r="C644" s="32"/>
      <c r="D644" s="32"/>
      <c r="G644" s="23"/>
    </row>
    <row r="645" spans="1:7">
      <c r="A645" s="38"/>
      <c r="B645" s="39"/>
      <c r="C645" s="32"/>
      <c r="D645" s="32"/>
      <c r="G645" s="23"/>
    </row>
    <row r="646" spans="1:7">
      <c r="A646" s="38"/>
      <c r="B646" s="39"/>
      <c r="C646" s="32"/>
      <c r="D646" s="32"/>
      <c r="G646" s="23"/>
    </row>
    <row r="647" spans="1:7">
      <c r="A647" s="38"/>
      <c r="B647" s="39"/>
      <c r="C647" s="32"/>
      <c r="D647" s="32"/>
      <c r="G647" s="23"/>
    </row>
    <row r="648" spans="1:7">
      <c r="A648" s="38"/>
      <c r="B648" s="39"/>
      <c r="C648" s="32"/>
      <c r="D648" s="32"/>
      <c r="G648" s="23"/>
    </row>
    <row r="649" spans="1:7">
      <c r="A649" s="38"/>
      <c r="B649" s="39"/>
      <c r="C649" s="32"/>
      <c r="D649" s="32"/>
      <c r="G649" s="23"/>
    </row>
    <row r="650" spans="1:7">
      <c r="A650" s="38"/>
      <c r="B650" s="39"/>
      <c r="C650" s="32"/>
      <c r="D650" s="32"/>
      <c r="G650" s="23"/>
    </row>
    <row r="651" spans="1:7">
      <c r="A651" s="38"/>
      <c r="B651" s="39"/>
      <c r="C651" s="32"/>
      <c r="D651" s="32"/>
      <c r="G651" s="23"/>
    </row>
    <row r="652" spans="1:7">
      <c r="A652" s="38"/>
      <c r="B652" s="39"/>
      <c r="C652" s="32"/>
      <c r="D652" s="32"/>
      <c r="G652" s="23"/>
    </row>
    <row r="653" spans="1:7">
      <c r="A653" s="38"/>
      <c r="B653" s="39"/>
      <c r="C653" s="32"/>
      <c r="D653" s="32"/>
      <c r="G653" s="23"/>
    </row>
    <row r="654" spans="1:7">
      <c r="A654" s="38"/>
      <c r="B654" s="39"/>
      <c r="C654" s="32"/>
      <c r="D654" s="32"/>
      <c r="G654" s="23"/>
    </row>
    <row r="655" spans="1:7">
      <c r="A655" s="38"/>
      <c r="B655" s="39"/>
      <c r="C655" s="32"/>
      <c r="D655" s="32"/>
      <c r="G655" s="23"/>
    </row>
    <row r="656" spans="1:7">
      <c r="A656" s="38"/>
      <c r="B656" s="39"/>
      <c r="C656" s="32"/>
      <c r="D656" s="32"/>
      <c r="G656" s="23"/>
    </row>
    <row r="657" spans="1:7">
      <c r="A657" s="38"/>
      <c r="B657" s="39"/>
      <c r="C657" s="32"/>
      <c r="D657" s="32"/>
      <c r="G657" s="23"/>
    </row>
    <row r="658" spans="1:7">
      <c r="A658" s="38"/>
      <c r="B658" s="39"/>
      <c r="C658" s="32"/>
      <c r="D658" s="32"/>
      <c r="G658" s="23"/>
    </row>
    <row r="659" spans="1:7">
      <c r="A659" s="38"/>
      <c r="B659" s="39"/>
      <c r="C659" s="32"/>
      <c r="D659" s="32"/>
      <c r="G659" s="23"/>
    </row>
    <row r="660" spans="1:7">
      <c r="A660" s="38"/>
      <c r="B660" s="39"/>
      <c r="C660" s="32"/>
      <c r="D660" s="32"/>
      <c r="G660" s="23"/>
    </row>
    <row r="661" spans="1:7">
      <c r="A661" s="38"/>
      <c r="B661" s="39"/>
      <c r="C661" s="32"/>
      <c r="D661" s="32"/>
      <c r="G661" s="23"/>
    </row>
    <row r="662" spans="1:7">
      <c r="A662" s="38"/>
      <c r="B662" s="39"/>
      <c r="C662" s="32"/>
      <c r="D662" s="32"/>
      <c r="G662" s="23"/>
    </row>
    <row r="663" spans="1:7">
      <c r="A663" s="38"/>
      <c r="B663" s="39"/>
      <c r="C663" s="32"/>
      <c r="D663" s="32"/>
      <c r="G663" s="23"/>
    </row>
    <row r="664" spans="1:7">
      <c r="A664" s="38"/>
      <c r="B664" s="39"/>
      <c r="C664" s="32"/>
      <c r="D664" s="32"/>
      <c r="G664" s="23"/>
    </row>
    <row r="665" spans="1:7">
      <c r="A665" s="38"/>
      <c r="B665" s="39"/>
      <c r="C665" s="32"/>
      <c r="D665" s="32"/>
      <c r="G665" s="23"/>
    </row>
    <row r="666" spans="1:7">
      <c r="A666" s="38"/>
      <c r="B666" s="39"/>
      <c r="C666" s="32"/>
      <c r="D666" s="32"/>
      <c r="G666" s="23"/>
    </row>
    <row r="667" spans="1:7">
      <c r="A667" s="38"/>
      <c r="B667" s="39"/>
      <c r="C667" s="32"/>
      <c r="D667" s="32"/>
      <c r="G667" s="23"/>
    </row>
    <row r="668" spans="1:7">
      <c r="A668" s="38"/>
      <c r="B668" s="39"/>
      <c r="C668" s="32"/>
      <c r="D668" s="32"/>
      <c r="G668" s="23"/>
    </row>
    <row r="669" spans="1:7">
      <c r="A669" s="38"/>
      <c r="B669" s="39"/>
      <c r="C669" s="32"/>
      <c r="D669" s="32"/>
      <c r="G669" s="23"/>
    </row>
    <row r="670" spans="1:7">
      <c r="A670" s="38"/>
      <c r="B670" s="39"/>
      <c r="C670" s="32"/>
      <c r="D670" s="32"/>
      <c r="G670" s="23"/>
    </row>
    <row r="671" spans="1:7">
      <c r="A671" s="38"/>
      <c r="B671" s="39"/>
      <c r="C671" s="32"/>
      <c r="D671" s="32"/>
      <c r="G671" s="23"/>
    </row>
    <row r="672" spans="1:7">
      <c r="A672" s="38"/>
      <c r="B672" s="39"/>
      <c r="C672" s="32"/>
      <c r="D672" s="32"/>
      <c r="G672" s="23"/>
    </row>
    <row r="673" spans="1:7">
      <c r="A673" s="38"/>
      <c r="B673" s="39"/>
      <c r="C673" s="32"/>
      <c r="D673" s="32"/>
      <c r="G673" s="23"/>
    </row>
    <row r="674" spans="1:7">
      <c r="A674" s="38"/>
      <c r="B674" s="39"/>
      <c r="C674" s="32"/>
      <c r="D674" s="32"/>
      <c r="G674" s="23"/>
    </row>
    <row r="675" spans="1:7">
      <c r="A675" s="38"/>
      <c r="B675" s="39"/>
      <c r="C675" s="32"/>
      <c r="D675" s="32"/>
      <c r="G675" s="23"/>
    </row>
    <row r="676" spans="1:7">
      <c r="A676" s="38"/>
      <c r="B676" s="39"/>
      <c r="C676" s="32"/>
      <c r="D676" s="32"/>
      <c r="G676" s="23"/>
    </row>
    <row r="677" spans="1:7">
      <c r="A677" s="38"/>
      <c r="B677" s="39"/>
      <c r="C677" s="32"/>
      <c r="D677" s="32"/>
      <c r="G677" s="23"/>
    </row>
    <row r="678" spans="1:7">
      <c r="A678" s="38"/>
      <c r="B678" s="39"/>
      <c r="C678" s="32"/>
      <c r="D678" s="32"/>
      <c r="G678" s="23"/>
    </row>
    <row r="679" spans="1:7">
      <c r="A679" s="38"/>
      <c r="B679" s="39"/>
      <c r="C679" s="32"/>
      <c r="D679" s="32"/>
      <c r="G679" s="23"/>
    </row>
    <row r="680" spans="1:7">
      <c r="A680" s="38"/>
      <c r="B680" s="39"/>
      <c r="C680" s="32"/>
      <c r="D680" s="32"/>
      <c r="G680" s="23"/>
    </row>
    <row r="681" spans="1:7">
      <c r="A681" s="38"/>
      <c r="B681" s="39"/>
      <c r="C681" s="32"/>
      <c r="D681" s="32"/>
      <c r="G681" s="23"/>
    </row>
    <row r="682" spans="1:7">
      <c r="A682" s="38"/>
      <c r="B682" s="39"/>
      <c r="C682" s="32"/>
      <c r="D682" s="32"/>
      <c r="G682" s="23"/>
    </row>
    <row r="683" spans="1:7">
      <c r="A683" s="38"/>
      <c r="B683" s="39"/>
      <c r="C683" s="32"/>
      <c r="D683" s="32"/>
      <c r="G683" s="23"/>
    </row>
    <row r="684" spans="1:7">
      <c r="A684" s="38"/>
      <c r="B684" s="39"/>
      <c r="C684" s="32"/>
      <c r="D684" s="32"/>
      <c r="G684" s="23"/>
    </row>
    <row r="685" spans="1:7">
      <c r="A685" s="38"/>
      <c r="B685" s="39"/>
      <c r="C685" s="32"/>
      <c r="D685" s="32"/>
      <c r="G685" s="23"/>
    </row>
    <row r="686" spans="1:7">
      <c r="A686" s="38"/>
      <c r="B686" s="39"/>
      <c r="C686" s="32"/>
      <c r="D686" s="32"/>
      <c r="G686" s="23"/>
    </row>
    <row r="687" spans="1:7">
      <c r="A687" s="38"/>
      <c r="B687" s="39"/>
      <c r="C687" s="32"/>
      <c r="D687" s="32"/>
      <c r="G687" s="23"/>
    </row>
    <row r="688" spans="1:7">
      <c r="A688" s="38"/>
      <c r="B688" s="39"/>
      <c r="C688" s="32"/>
      <c r="D688" s="32"/>
      <c r="G688" s="23"/>
    </row>
    <row r="689" spans="1:7">
      <c r="A689" s="38"/>
      <c r="B689" s="39"/>
      <c r="C689" s="32"/>
      <c r="D689" s="32"/>
      <c r="G689" s="23"/>
    </row>
    <row r="690" spans="1:7">
      <c r="A690" s="38"/>
      <c r="B690" s="39"/>
      <c r="C690" s="32"/>
      <c r="D690" s="32"/>
      <c r="G690" s="23"/>
    </row>
    <row r="691" spans="1:7">
      <c r="A691" s="38"/>
      <c r="B691" s="39"/>
      <c r="C691" s="32"/>
      <c r="D691" s="32"/>
      <c r="G691" s="23"/>
    </row>
    <row r="692" spans="1:7">
      <c r="A692" s="38"/>
      <c r="B692" s="39"/>
      <c r="C692" s="32"/>
      <c r="D692" s="32"/>
      <c r="G692" s="23"/>
    </row>
    <row r="693" spans="1:7">
      <c r="A693" s="38"/>
      <c r="B693" s="39"/>
      <c r="C693" s="32"/>
      <c r="D693" s="32"/>
      <c r="G693" s="23"/>
    </row>
    <row r="694" spans="1:7">
      <c r="A694" s="38"/>
      <c r="B694" s="39"/>
      <c r="C694" s="32"/>
      <c r="D694" s="32"/>
      <c r="G694" s="23"/>
    </row>
    <row r="695" spans="1:7">
      <c r="A695" s="38"/>
      <c r="B695" s="39"/>
      <c r="C695" s="32"/>
      <c r="D695" s="32"/>
      <c r="G695" s="23"/>
    </row>
    <row r="696" spans="1:7">
      <c r="A696" s="38"/>
      <c r="B696" s="39"/>
      <c r="C696" s="32"/>
      <c r="D696" s="32"/>
      <c r="G696" s="23"/>
    </row>
    <row r="697" spans="1:7">
      <c r="A697" s="38"/>
      <c r="B697" s="39"/>
      <c r="C697" s="32"/>
      <c r="D697" s="32"/>
      <c r="G697" s="23"/>
    </row>
    <row r="698" spans="1:7">
      <c r="A698" s="38"/>
      <c r="B698" s="39"/>
      <c r="C698" s="32"/>
      <c r="D698" s="32"/>
      <c r="G698" s="23"/>
    </row>
    <row r="699" spans="1:7">
      <c r="A699" s="38"/>
      <c r="B699" s="39"/>
      <c r="C699" s="32"/>
      <c r="D699" s="32"/>
      <c r="G699" s="23"/>
    </row>
    <row r="700" spans="1:7">
      <c r="A700" s="38"/>
      <c r="B700" s="39"/>
      <c r="C700" s="32"/>
      <c r="D700" s="32"/>
      <c r="G700" s="23"/>
    </row>
    <row r="701" spans="1:7">
      <c r="A701" s="38"/>
      <c r="B701" s="39"/>
      <c r="C701" s="32"/>
      <c r="D701" s="32"/>
      <c r="G701" s="23"/>
    </row>
    <row r="702" spans="1:7">
      <c r="A702" s="38"/>
      <c r="B702" s="39"/>
      <c r="C702" s="32"/>
      <c r="D702" s="32"/>
      <c r="G702" s="23"/>
    </row>
    <row r="703" spans="1:7">
      <c r="A703" s="38"/>
      <c r="B703" s="39"/>
      <c r="C703" s="32"/>
      <c r="D703" s="32"/>
      <c r="G703" s="23"/>
    </row>
    <row r="704" spans="1:7">
      <c r="A704" s="38"/>
      <c r="B704" s="39"/>
      <c r="C704" s="32"/>
      <c r="D704" s="32"/>
      <c r="G704" s="23"/>
    </row>
    <row r="705" spans="1:7">
      <c r="A705" s="38"/>
      <c r="B705" s="39"/>
      <c r="C705" s="32"/>
      <c r="D705" s="32"/>
      <c r="G705" s="23"/>
    </row>
    <row r="706" spans="1:7">
      <c r="A706" s="38"/>
      <c r="B706" s="39"/>
      <c r="C706" s="32"/>
      <c r="D706" s="32"/>
      <c r="G706" s="23"/>
    </row>
    <row r="707" spans="1:7">
      <c r="A707" s="38"/>
      <c r="B707" s="39"/>
      <c r="C707" s="32"/>
      <c r="D707" s="32"/>
      <c r="G707" s="23"/>
    </row>
    <row r="708" spans="1:7">
      <c r="A708" s="38"/>
      <c r="B708" s="39"/>
      <c r="C708" s="32"/>
      <c r="D708" s="32"/>
      <c r="G708" s="23"/>
    </row>
    <row r="709" spans="1:7">
      <c r="A709" s="38"/>
      <c r="B709" s="39"/>
      <c r="C709" s="32"/>
      <c r="D709" s="32"/>
      <c r="G709" s="23"/>
    </row>
    <row r="710" spans="1:7">
      <c r="A710" s="38"/>
      <c r="B710" s="39"/>
      <c r="C710" s="32"/>
      <c r="D710" s="32"/>
      <c r="G710" s="23"/>
    </row>
    <row r="711" spans="1:7">
      <c r="A711" s="38"/>
      <c r="B711" s="39"/>
      <c r="C711" s="32"/>
      <c r="D711" s="32"/>
      <c r="G711" s="23"/>
    </row>
    <row r="712" spans="1:7">
      <c r="A712" s="38"/>
      <c r="B712" s="39"/>
      <c r="C712" s="32"/>
      <c r="D712" s="32"/>
      <c r="G712" s="23"/>
    </row>
    <row r="713" spans="1:7">
      <c r="A713" s="38"/>
      <c r="B713" s="39"/>
      <c r="C713" s="32"/>
      <c r="D713" s="32"/>
      <c r="G713" s="23"/>
    </row>
    <row r="714" spans="1:7">
      <c r="A714" s="38"/>
      <c r="B714" s="39"/>
      <c r="C714" s="32"/>
      <c r="D714" s="32"/>
      <c r="G714" s="23"/>
    </row>
    <row r="715" spans="1:7">
      <c r="A715" s="38"/>
      <c r="B715" s="39"/>
      <c r="C715" s="32"/>
      <c r="D715" s="32"/>
      <c r="G715" s="23"/>
    </row>
    <row r="716" spans="1:7">
      <c r="A716" s="38"/>
      <c r="B716" s="39"/>
      <c r="C716" s="32"/>
      <c r="D716" s="32"/>
      <c r="G716" s="23"/>
    </row>
    <row r="717" spans="1:7">
      <c r="A717" s="38"/>
      <c r="B717" s="39"/>
      <c r="C717" s="32"/>
      <c r="D717" s="32"/>
      <c r="G717" s="23"/>
    </row>
    <row r="718" spans="1:7">
      <c r="A718" s="38"/>
      <c r="B718" s="39"/>
      <c r="C718" s="32"/>
      <c r="D718" s="32"/>
      <c r="G718" s="23"/>
    </row>
    <row r="719" spans="1:7">
      <c r="A719" s="38"/>
      <c r="B719" s="39"/>
      <c r="C719" s="32"/>
      <c r="D719" s="32"/>
      <c r="G719" s="23"/>
    </row>
    <row r="720" spans="1:7">
      <c r="A720" s="38"/>
      <c r="B720" s="39"/>
      <c r="C720" s="32"/>
      <c r="D720" s="32"/>
      <c r="G720" s="23"/>
    </row>
    <row r="721" spans="1:7">
      <c r="A721" s="38"/>
      <c r="B721" s="39"/>
      <c r="C721" s="32"/>
      <c r="D721" s="32"/>
      <c r="G721" s="23"/>
    </row>
    <row r="722" spans="1:7">
      <c r="A722" s="38"/>
      <c r="B722" s="39"/>
      <c r="C722" s="32"/>
      <c r="D722" s="32"/>
      <c r="G722" s="23"/>
    </row>
    <row r="723" spans="1:7">
      <c r="A723" s="38"/>
      <c r="B723" s="39"/>
      <c r="C723" s="32"/>
      <c r="D723" s="32"/>
      <c r="G723" s="23"/>
    </row>
    <row r="724" spans="1:7">
      <c r="A724" s="38"/>
      <c r="B724" s="39"/>
      <c r="C724" s="32"/>
      <c r="D724" s="32"/>
      <c r="G724" s="23"/>
    </row>
    <row r="725" spans="1:7">
      <c r="A725" s="38"/>
      <c r="B725" s="39"/>
      <c r="C725" s="32"/>
      <c r="D725" s="32"/>
      <c r="G725" s="23"/>
    </row>
    <row r="726" spans="1:7">
      <c r="A726" s="38"/>
      <c r="B726" s="39"/>
      <c r="C726" s="32"/>
      <c r="D726" s="32"/>
      <c r="G726" s="23"/>
    </row>
    <row r="727" spans="1:7">
      <c r="A727" s="38"/>
      <c r="B727" s="39"/>
      <c r="C727" s="32"/>
      <c r="D727" s="32"/>
      <c r="G727" s="23"/>
    </row>
    <row r="728" spans="1:7">
      <c r="A728" s="38"/>
      <c r="B728" s="39"/>
      <c r="C728" s="32"/>
      <c r="D728" s="32"/>
      <c r="G728" s="23"/>
    </row>
    <row r="729" spans="1:7">
      <c r="A729" s="38"/>
      <c r="B729" s="39"/>
      <c r="C729" s="32"/>
      <c r="D729" s="32"/>
      <c r="G729" s="23"/>
    </row>
    <row r="730" spans="1:7">
      <c r="A730" s="38"/>
      <c r="B730" s="39"/>
      <c r="C730" s="32"/>
      <c r="D730" s="32"/>
      <c r="G730" s="23"/>
    </row>
    <row r="731" spans="1:7">
      <c r="A731" s="38"/>
      <c r="B731" s="39"/>
      <c r="C731" s="32"/>
      <c r="D731" s="32"/>
      <c r="G731" s="23"/>
    </row>
    <row r="732" spans="1:7">
      <c r="A732" s="38"/>
      <c r="B732" s="39"/>
      <c r="C732" s="32"/>
      <c r="D732" s="32"/>
      <c r="G732" s="23"/>
    </row>
    <row r="733" spans="1:7">
      <c r="A733" s="38"/>
      <c r="B733" s="39"/>
      <c r="C733" s="32"/>
      <c r="D733" s="32"/>
      <c r="G733" s="23"/>
    </row>
    <row r="734" spans="1:7">
      <c r="A734" s="38"/>
      <c r="B734" s="39"/>
      <c r="C734" s="32"/>
      <c r="D734" s="32"/>
      <c r="G734" s="23"/>
    </row>
    <row r="735" spans="1:7">
      <c r="A735" s="38"/>
      <c r="B735" s="39"/>
      <c r="C735" s="32"/>
      <c r="D735" s="32"/>
      <c r="G735" s="23"/>
    </row>
    <row r="736" spans="1:7">
      <c r="A736" s="38"/>
      <c r="B736" s="39"/>
      <c r="C736" s="32"/>
      <c r="D736" s="32"/>
      <c r="G736" s="23"/>
    </row>
    <row r="737" spans="1:7">
      <c r="A737" s="38"/>
      <c r="B737" s="39"/>
      <c r="C737" s="32"/>
      <c r="D737" s="32"/>
      <c r="G737" s="23"/>
    </row>
    <row r="738" spans="1:7">
      <c r="A738" s="38"/>
      <c r="B738" s="39"/>
      <c r="C738" s="32"/>
      <c r="D738" s="32"/>
      <c r="G738" s="23"/>
    </row>
    <row r="739" spans="1:7">
      <c r="A739" s="38"/>
      <c r="B739" s="39"/>
      <c r="C739" s="32"/>
      <c r="D739" s="32"/>
      <c r="G739" s="23"/>
    </row>
    <row r="740" spans="1:7">
      <c r="A740" s="38"/>
      <c r="B740" s="39"/>
      <c r="C740" s="32"/>
      <c r="D740" s="32"/>
      <c r="G740" s="23"/>
    </row>
    <row r="741" spans="1:7">
      <c r="A741" s="38"/>
      <c r="B741" s="39"/>
      <c r="C741" s="32"/>
      <c r="D741" s="32"/>
      <c r="G741" s="23"/>
    </row>
    <row r="742" spans="1:7">
      <c r="A742" s="38"/>
      <c r="B742" s="39"/>
      <c r="C742" s="32"/>
      <c r="D742" s="32"/>
      <c r="G742" s="23"/>
    </row>
    <row r="743" spans="1:7">
      <c r="A743" s="38"/>
      <c r="B743" s="39"/>
      <c r="C743" s="32"/>
      <c r="D743" s="32"/>
      <c r="G743" s="23"/>
    </row>
    <row r="744" spans="1:7">
      <c r="A744" s="38"/>
      <c r="B744" s="39"/>
      <c r="C744" s="32"/>
      <c r="D744" s="32"/>
      <c r="G744" s="23"/>
    </row>
    <row r="745" spans="1:7">
      <c r="A745" s="38"/>
      <c r="B745" s="39"/>
      <c r="C745" s="32"/>
      <c r="D745" s="32"/>
      <c r="G745" s="23"/>
    </row>
    <row r="746" spans="1:7">
      <c r="A746" s="38"/>
      <c r="B746" s="39"/>
      <c r="C746" s="32"/>
      <c r="D746" s="32"/>
      <c r="G746" s="23"/>
    </row>
    <row r="747" spans="1:7">
      <c r="A747" s="38"/>
      <c r="B747" s="39"/>
      <c r="C747" s="32"/>
      <c r="D747" s="32"/>
      <c r="G747" s="23"/>
    </row>
    <row r="748" spans="1:7">
      <c r="A748" s="38"/>
      <c r="B748" s="39"/>
      <c r="C748" s="32"/>
      <c r="D748" s="32"/>
      <c r="G748" s="23"/>
    </row>
    <row r="749" spans="1:7">
      <c r="A749" s="38"/>
      <c r="B749" s="39"/>
      <c r="C749" s="32"/>
      <c r="D749" s="32"/>
      <c r="G749" s="23"/>
    </row>
    <row r="750" spans="1:7">
      <c r="A750" s="38"/>
      <c r="B750" s="39"/>
      <c r="C750" s="32"/>
      <c r="D750" s="32"/>
      <c r="G750" s="23"/>
    </row>
    <row r="751" spans="1:7">
      <c r="A751" s="38"/>
      <c r="B751" s="39"/>
      <c r="C751" s="32"/>
      <c r="D751" s="32"/>
      <c r="G751" s="23"/>
    </row>
    <row r="752" spans="1:7">
      <c r="A752" s="38"/>
      <c r="B752" s="39"/>
      <c r="C752" s="32"/>
      <c r="D752" s="32"/>
      <c r="G752" s="23"/>
    </row>
    <row r="753" spans="1:7">
      <c r="A753" s="38"/>
      <c r="B753" s="39"/>
      <c r="C753" s="32"/>
      <c r="D753" s="32"/>
      <c r="G753" s="23"/>
    </row>
    <row r="754" spans="1:7">
      <c r="A754" s="38"/>
      <c r="B754" s="39"/>
      <c r="C754" s="32"/>
      <c r="D754" s="32"/>
      <c r="G754" s="23"/>
    </row>
    <row r="755" spans="1:7">
      <c r="A755" s="38"/>
      <c r="B755" s="39"/>
      <c r="C755" s="32"/>
      <c r="D755" s="32"/>
      <c r="G755" s="23"/>
    </row>
    <row r="756" spans="1:7">
      <c r="A756" s="38"/>
      <c r="B756" s="39"/>
      <c r="C756" s="32"/>
      <c r="D756" s="32"/>
      <c r="G756" s="23"/>
    </row>
    <row r="757" spans="1:7">
      <c r="A757" s="38"/>
      <c r="B757" s="39"/>
      <c r="C757" s="32"/>
      <c r="D757" s="32"/>
      <c r="G757" s="23"/>
    </row>
    <row r="758" spans="1:7">
      <c r="A758" s="38"/>
      <c r="B758" s="39"/>
      <c r="C758" s="32"/>
      <c r="D758" s="32"/>
      <c r="G758" s="23"/>
    </row>
    <row r="759" spans="1:7">
      <c r="A759" s="38"/>
      <c r="B759" s="39"/>
      <c r="C759" s="32"/>
      <c r="D759" s="32"/>
      <c r="G759" s="23"/>
    </row>
    <row r="760" spans="1:7">
      <c r="A760" s="38"/>
      <c r="B760" s="39"/>
      <c r="C760" s="32"/>
      <c r="D760" s="32"/>
      <c r="G760" s="23"/>
    </row>
    <row r="761" spans="1:7">
      <c r="A761" s="38"/>
      <c r="B761" s="39"/>
      <c r="C761" s="32"/>
      <c r="D761" s="32"/>
      <c r="G761" s="23"/>
    </row>
    <row r="762" spans="1:7">
      <c r="A762" s="38"/>
      <c r="B762" s="39"/>
      <c r="C762" s="32"/>
      <c r="D762" s="32"/>
      <c r="G762" s="23"/>
    </row>
    <row r="763" spans="1:7">
      <c r="A763" s="38"/>
      <c r="B763" s="39"/>
      <c r="C763" s="32"/>
      <c r="D763" s="32"/>
      <c r="G763" s="23"/>
    </row>
    <row r="764" spans="1:7">
      <c r="A764" s="38"/>
      <c r="B764" s="39"/>
      <c r="C764" s="32"/>
      <c r="D764" s="32"/>
      <c r="G764" s="23"/>
    </row>
    <row r="765" spans="1:7">
      <c r="A765" s="38"/>
      <c r="B765" s="39"/>
      <c r="C765" s="32"/>
      <c r="D765" s="32"/>
      <c r="G765" s="23"/>
    </row>
    <row r="766" spans="1:7">
      <c r="A766" s="38"/>
      <c r="B766" s="39"/>
      <c r="C766" s="32"/>
      <c r="D766" s="32"/>
      <c r="G766" s="23"/>
    </row>
    <row r="767" spans="1:7">
      <c r="A767" s="38"/>
      <c r="B767" s="39"/>
      <c r="C767" s="32"/>
      <c r="D767" s="32"/>
      <c r="G767" s="23"/>
    </row>
    <row r="768" spans="1:7">
      <c r="A768" s="38"/>
      <c r="B768" s="39"/>
      <c r="C768" s="32"/>
      <c r="D768" s="32"/>
      <c r="G768" s="23"/>
    </row>
    <row r="769" spans="1:7">
      <c r="A769" s="38"/>
      <c r="B769" s="39"/>
      <c r="C769" s="32"/>
      <c r="D769" s="32"/>
      <c r="G769" s="23"/>
    </row>
    <row r="770" spans="1:7">
      <c r="A770" s="38"/>
      <c r="B770" s="39"/>
      <c r="C770" s="32"/>
      <c r="D770" s="32"/>
      <c r="G770" s="23"/>
    </row>
    <row r="771" spans="1:7">
      <c r="A771" s="38"/>
      <c r="B771" s="39"/>
      <c r="C771" s="32"/>
      <c r="D771" s="32"/>
      <c r="G771" s="23"/>
    </row>
    <row r="772" spans="1:7">
      <c r="A772" s="38"/>
      <c r="B772" s="39"/>
      <c r="C772" s="32"/>
      <c r="D772" s="32"/>
      <c r="G772" s="23"/>
    </row>
    <row r="773" spans="1:7">
      <c r="A773" s="38"/>
      <c r="B773" s="39"/>
      <c r="C773" s="32"/>
      <c r="D773" s="32"/>
      <c r="G773" s="23"/>
    </row>
    <row r="774" spans="1:7">
      <c r="A774" s="38"/>
      <c r="B774" s="39"/>
      <c r="C774" s="32"/>
      <c r="D774" s="32"/>
      <c r="G774" s="23"/>
    </row>
    <row r="775" spans="1:7">
      <c r="A775" s="38"/>
      <c r="B775" s="39"/>
      <c r="C775" s="32"/>
      <c r="D775" s="32"/>
      <c r="G775" s="23"/>
    </row>
    <row r="776" spans="1:7">
      <c r="A776" s="38"/>
      <c r="B776" s="39"/>
      <c r="C776" s="32"/>
      <c r="D776" s="32"/>
      <c r="G776" s="23"/>
    </row>
    <row r="777" spans="1:7">
      <c r="A777" s="38"/>
      <c r="B777" s="39"/>
      <c r="C777" s="32"/>
      <c r="D777" s="32"/>
      <c r="G777" s="23"/>
    </row>
    <row r="778" spans="1:7">
      <c r="A778" s="38"/>
      <c r="B778" s="39"/>
      <c r="C778" s="32"/>
      <c r="D778" s="32"/>
      <c r="G778" s="23"/>
    </row>
    <row r="779" spans="1:7">
      <c r="A779" s="38"/>
      <c r="B779" s="39"/>
      <c r="C779" s="32"/>
      <c r="D779" s="32"/>
      <c r="G779" s="23"/>
    </row>
    <row r="780" spans="1:7">
      <c r="A780" s="38"/>
      <c r="B780" s="39"/>
      <c r="C780" s="32"/>
      <c r="D780" s="32"/>
      <c r="G780" s="23"/>
    </row>
    <row r="781" spans="1:7">
      <c r="A781" s="38"/>
      <c r="B781" s="39"/>
      <c r="C781" s="32"/>
      <c r="D781" s="32"/>
      <c r="G781" s="23"/>
    </row>
    <row r="782" spans="1:7">
      <c r="A782" s="38"/>
      <c r="B782" s="39"/>
      <c r="C782" s="32"/>
      <c r="D782" s="32"/>
      <c r="G782" s="23"/>
    </row>
    <row r="783" spans="1:7">
      <c r="A783" s="38"/>
      <c r="B783" s="39"/>
      <c r="C783" s="32"/>
      <c r="D783" s="32"/>
      <c r="G783" s="23"/>
    </row>
    <row r="784" spans="1:7">
      <c r="A784" s="38"/>
      <c r="B784" s="39"/>
      <c r="C784" s="32"/>
      <c r="D784" s="32"/>
      <c r="G784" s="23"/>
    </row>
    <row r="785" spans="1:7">
      <c r="A785" s="38"/>
      <c r="B785" s="39"/>
      <c r="C785" s="32"/>
      <c r="D785" s="32"/>
      <c r="G785" s="23"/>
    </row>
    <row r="786" spans="1:7">
      <c r="A786" s="38"/>
      <c r="B786" s="39"/>
      <c r="C786" s="32"/>
      <c r="D786" s="32"/>
      <c r="G786" s="23"/>
    </row>
    <row r="787" spans="1:7">
      <c r="A787" s="38"/>
      <c r="B787" s="39"/>
      <c r="C787" s="32"/>
      <c r="D787" s="32"/>
      <c r="G787" s="23"/>
    </row>
    <row r="788" spans="1:7">
      <c r="A788" s="38"/>
      <c r="B788" s="39"/>
      <c r="C788" s="32"/>
      <c r="D788" s="32"/>
      <c r="G788" s="23"/>
    </row>
    <row r="789" spans="1:7">
      <c r="A789" s="38"/>
      <c r="B789" s="39"/>
      <c r="C789" s="32"/>
      <c r="D789" s="32"/>
      <c r="G789" s="23"/>
    </row>
    <row r="790" spans="1:7">
      <c r="A790" s="38"/>
      <c r="B790" s="39"/>
      <c r="C790" s="32"/>
      <c r="D790" s="32"/>
      <c r="G790" s="23"/>
    </row>
    <row r="791" spans="1:7">
      <c r="A791" s="38"/>
      <c r="B791" s="39"/>
      <c r="C791" s="32"/>
      <c r="D791" s="32"/>
      <c r="G791" s="23"/>
    </row>
    <row r="792" spans="1:7">
      <c r="A792" s="38"/>
      <c r="B792" s="39"/>
      <c r="C792" s="32"/>
      <c r="D792" s="32"/>
      <c r="G792" s="23"/>
    </row>
    <row r="793" spans="1:7">
      <c r="A793" s="38"/>
      <c r="B793" s="39"/>
      <c r="C793" s="32"/>
      <c r="D793" s="32"/>
      <c r="G793" s="23"/>
    </row>
    <row r="794" spans="1:7">
      <c r="A794" s="38"/>
      <c r="B794" s="39"/>
      <c r="C794" s="32"/>
      <c r="D794" s="32"/>
      <c r="G794" s="23"/>
    </row>
    <row r="795" spans="1:7">
      <c r="A795" s="38"/>
      <c r="B795" s="39"/>
      <c r="C795" s="32"/>
      <c r="D795" s="32"/>
      <c r="G795" s="23"/>
    </row>
    <row r="796" spans="1:7">
      <c r="A796" s="38"/>
      <c r="B796" s="39"/>
      <c r="C796" s="32"/>
      <c r="D796" s="32"/>
      <c r="G796" s="23"/>
    </row>
    <row r="797" spans="1:7">
      <c r="A797" s="38"/>
      <c r="B797" s="39"/>
      <c r="C797" s="32"/>
      <c r="D797" s="32"/>
      <c r="G797" s="23"/>
    </row>
    <row r="798" spans="1:7">
      <c r="A798" s="38"/>
      <c r="B798" s="39"/>
      <c r="C798" s="32"/>
      <c r="D798" s="32"/>
      <c r="G798" s="23"/>
    </row>
    <row r="799" spans="1:7">
      <c r="A799" s="38"/>
      <c r="B799" s="39"/>
      <c r="C799" s="32"/>
      <c r="D799" s="32"/>
      <c r="G799" s="23"/>
    </row>
    <row r="800" spans="1:7">
      <c r="A800" s="38"/>
      <c r="B800" s="39"/>
      <c r="C800" s="32"/>
      <c r="D800" s="32"/>
      <c r="G800" s="23"/>
    </row>
    <row r="801" spans="1:7">
      <c r="A801" s="38"/>
      <c r="B801" s="39"/>
      <c r="C801" s="32"/>
      <c r="D801" s="32"/>
      <c r="G801" s="23"/>
    </row>
    <row r="802" spans="1:7">
      <c r="A802" s="38"/>
      <c r="B802" s="39"/>
      <c r="C802" s="32"/>
      <c r="D802" s="32"/>
      <c r="G802" s="23"/>
    </row>
    <row r="803" spans="1:7">
      <c r="A803" s="38"/>
      <c r="B803" s="39"/>
      <c r="C803" s="32"/>
      <c r="D803" s="32"/>
      <c r="G803" s="23"/>
    </row>
    <row r="804" spans="1:7">
      <c r="A804" s="38"/>
      <c r="B804" s="39"/>
      <c r="C804" s="32"/>
      <c r="D804" s="32"/>
      <c r="G804" s="23"/>
    </row>
    <row r="805" spans="1:7">
      <c r="A805" s="38"/>
      <c r="B805" s="39"/>
      <c r="C805" s="32"/>
      <c r="D805" s="32"/>
      <c r="G805" s="23"/>
    </row>
    <row r="806" spans="1:7">
      <c r="A806" s="38"/>
      <c r="B806" s="39"/>
      <c r="C806" s="32"/>
      <c r="D806" s="32"/>
      <c r="G806" s="23"/>
    </row>
    <row r="807" spans="1:7">
      <c r="A807" s="38"/>
      <c r="B807" s="39"/>
      <c r="C807" s="32"/>
      <c r="D807" s="32"/>
      <c r="G807" s="23"/>
    </row>
    <row r="808" spans="1:7">
      <c r="A808" s="38"/>
      <c r="B808" s="39"/>
      <c r="C808" s="32"/>
      <c r="D808" s="32"/>
      <c r="G808" s="23"/>
    </row>
    <row r="809" spans="1:7">
      <c r="A809" s="38"/>
      <c r="B809" s="39"/>
      <c r="C809" s="32"/>
      <c r="D809" s="32"/>
      <c r="G809" s="23"/>
    </row>
    <row r="810" spans="1:7">
      <c r="A810" s="38"/>
      <c r="B810" s="39"/>
      <c r="C810" s="32"/>
      <c r="D810" s="32"/>
      <c r="G810" s="23"/>
    </row>
    <row r="811" spans="1:7">
      <c r="A811" s="38"/>
      <c r="B811" s="39"/>
      <c r="C811" s="32"/>
      <c r="D811" s="32"/>
      <c r="G811" s="23"/>
    </row>
    <row r="812" spans="1:7">
      <c r="A812" s="38"/>
      <c r="B812" s="39"/>
      <c r="C812" s="32"/>
      <c r="D812" s="32"/>
      <c r="G812" s="23"/>
    </row>
    <row r="813" spans="1:7">
      <c r="A813" s="38"/>
      <c r="B813" s="39"/>
      <c r="C813" s="32"/>
      <c r="D813" s="32"/>
      <c r="G813" s="23"/>
    </row>
    <row r="814" spans="1:7">
      <c r="A814" s="38"/>
      <c r="B814" s="39"/>
      <c r="C814" s="32"/>
      <c r="D814" s="32"/>
      <c r="G814" s="23"/>
    </row>
    <row r="815" spans="1:7">
      <c r="A815" s="38"/>
      <c r="B815" s="39"/>
      <c r="C815" s="32"/>
      <c r="D815" s="32"/>
      <c r="G815" s="23"/>
    </row>
    <row r="816" spans="1:7">
      <c r="A816" s="38"/>
      <c r="B816" s="39"/>
      <c r="C816" s="32"/>
      <c r="D816" s="32"/>
      <c r="G816" s="23"/>
    </row>
    <row r="817" spans="1:7">
      <c r="A817" s="38"/>
      <c r="B817" s="39"/>
      <c r="C817" s="32"/>
      <c r="D817" s="32"/>
      <c r="G817" s="23"/>
    </row>
    <row r="818" spans="1:7">
      <c r="A818" s="38"/>
      <c r="B818" s="39"/>
      <c r="C818" s="32"/>
      <c r="D818" s="32"/>
      <c r="G818" s="23"/>
    </row>
    <row r="819" spans="1:7">
      <c r="A819" s="38"/>
      <c r="B819" s="39"/>
      <c r="C819" s="32"/>
      <c r="D819" s="32"/>
      <c r="G819" s="23"/>
    </row>
    <row r="820" spans="1:7">
      <c r="A820" s="38"/>
      <c r="B820" s="39"/>
      <c r="C820" s="32"/>
      <c r="D820" s="32"/>
      <c r="G820" s="23"/>
    </row>
    <row r="821" spans="1:7">
      <c r="A821" s="38"/>
      <c r="B821" s="39"/>
      <c r="C821" s="32"/>
      <c r="D821" s="32"/>
      <c r="G821" s="23"/>
    </row>
    <row r="822" spans="1:7">
      <c r="A822" s="38"/>
      <c r="B822" s="39"/>
      <c r="C822" s="32"/>
      <c r="D822" s="32"/>
      <c r="G822" s="23"/>
    </row>
    <row r="823" spans="1:7">
      <c r="A823" s="38"/>
      <c r="B823" s="39"/>
      <c r="C823" s="32"/>
      <c r="D823" s="32"/>
      <c r="G823" s="23"/>
    </row>
    <row r="824" spans="1:7">
      <c r="A824" s="38"/>
      <c r="B824" s="39"/>
      <c r="C824" s="32"/>
      <c r="D824" s="32"/>
      <c r="G824" s="23"/>
    </row>
    <row r="825" spans="1:7">
      <c r="A825" s="38"/>
      <c r="B825" s="39"/>
      <c r="C825" s="32"/>
      <c r="D825" s="32"/>
      <c r="G825" s="23"/>
    </row>
    <row r="826" spans="1:7">
      <c r="A826" s="38"/>
      <c r="B826" s="39"/>
      <c r="C826" s="32"/>
      <c r="D826" s="32"/>
      <c r="G826" s="23"/>
    </row>
    <row r="827" spans="1:7">
      <c r="A827" s="38"/>
      <c r="B827" s="39"/>
      <c r="C827" s="32"/>
      <c r="D827" s="32"/>
      <c r="G827" s="23"/>
    </row>
    <row r="828" spans="1:7">
      <c r="A828" s="38"/>
      <c r="B828" s="39"/>
      <c r="C828" s="32"/>
      <c r="D828" s="32"/>
      <c r="G828" s="23"/>
    </row>
    <row r="829" spans="1:7">
      <c r="A829" s="38"/>
      <c r="B829" s="39"/>
      <c r="C829" s="32"/>
      <c r="D829" s="32"/>
      <c r="G829" s="23"/>
    </row>
    <row r="830" spans="1:7">
      <c r="A830" s="38"/>
      <c r="B830" s="39"/>
      <c r="C830" s="32"/>
      <c r="D830" s="32"/>
      <c r="G830" s="23"/>
    </row>
    <row r="831" spans="1:7">
      <c r="A831" s="38"/>
      <c r="B831" s="39"/>
      <c r="C831" s="32"/>
      <c r="D831" s="32"/>
      <c r="G831" s="23"/>
    </row>
    <row r="832" spans="1:7">
      <c r="A832" s="38"/>
      <c r="B832" s="39"/>
      <c r="C832" s="32"/>
      <c r="D832" s="32"/>
      <c r="G832" s="23"/>
    </row>
    <row r="833" spans="1:7">
      <c r="A833" s="38"/>
      <c r="B833" s="39"/>
      <c r="C833" s="32"/>
      <c r="D833" s="32"/>
      <c r="G833" s="23"/>
    </row>
    <row r="834" spans="1:7">
      <c r="A834" s="38"/>
      <c r="B834" s="39"/>
      <c r="C834" s="32"/>
      <c r="D834" s="32"/>
      <c r="G834" s="23"/>
    </row>
    <row r="835" spans="1:7">
      <c r="A835" s="38"/>
      <c r="B835" s="39"/>
      <c r="C835" s="32"/>
      <c r="D835" s="32"/>
      <c r="G835" s="23"/>
    </row>
    <row r="836" spans="1:7">
      <c r="A836" s="38"/>
      <c r="B836" s="39"/>
      <c r="C836" s="32"/>
      <c r="D836" s="32"/>
      <c r="G836" s="23"/>
    </row>
    <row r="837" spans="1:7">
      <c r="A837" s="38"/>
      <c r="B837" s="39"/>
      <c r="C837" s="32"/>
      <c r="D837" s="32"/>
      <c r="G837" s="23"/>
    </row>
    <row r="838" spans="1:7">
      <c r="A838" s="38"/>
      <c r="B838" s="39"/>
      <c r="C838" s="32"/>
      <c r="D838" s="32"/>
      <c r="G838" s="23"/>
    </row>
    <row r="839" spans="1:7">
      <c r="A839" s="38"/>
      <c r="B839" s="39"/>
      <c r="C839" s="32"/>
      <c r="D839" s="32"/>
      <c r="G839" s="23"/>
    </row>
    <row r="840" spans="1:7">
      <c r="A840" s="38"/>
      <c r="B840" s="39"/>
      <c r="C840" s="32"/>
      <c r="D840" s="32"/>
      <c r="G840" s="23"/>
    </row>
    <row r="841" spans="1:7">
      <c r="A841" s="38"/>
      <c r="B841" s="39"/>
      <c r="C841" s="32"/>
      <c r="D841" s="32"/>
      <c r="G841" s="23"/>
    </row>
    <row r="842" spans="1:7">
      <c r="A842" s="38"/>
      <c r="B842" s="39"/>
      <c r="C842" s="32"/>
      <c r="D842" s="32"/>
      <c r="G842" s="23"/>
    </row>
    <row r="843" spans="1:7">
      <c r="A843" s="38"/>
      <c r="B843" s="39"/>
      <c r="C843" s="32"/>
      <c r="D843" s="32"/>
      <c r="G843" s="23"/>
    </row>
    <row r="844" spans="1:7">
      <c r="A844" s="38"/>
      <c r="B844" s="39"/>
      <c r="C844" s="32"/>
      <c r="D844" s="32"/>
      <c r="G844" s="23"/>
    </row>
    <row r="845" spans="1:7">
      <c r="A845" s="38"/>
      <c r="B845" s="39"/>
      <c r="C845" s="32"/>
      <c r="D845" s="32"/>
      <c r="G845" s="23"/>
    </row>
    <row r="846" spans="1:7">
      <c r="A846" s="38"/>
      <c r="B846" s="39"/>
      <c r="C846" s="32"/>
      <c r="D846" s="32"/>
      <c r="G846" s="23"/>
    </row>
    <row r="847" spans="1:7">
      <c r="A847" s="38"/>
      <c r="B847" s="39"/>
      <c r="C847" s="32"/>
      <c r="D847" s="32"/>
      <c r="G847" s="23"/>
    </row>
    <row r="848" spans="1:7">
      <c r="A848" s="38"/>
      <c r="B848" s="39"/>
      <c r="C848" s="32"/>
      <c r="D848" s="32"/>
      <c r="G848" s="23"/>
    </row>
    <row r="849" spans="1:7">
      <c r="A849" s="38"/>
      <c r="B849" s="39"/>
      <c r="C849" s="32"/>
      <c r="D849" s="32"/>
      <c r="G849" s="23"/>
    </row>
    <row r="850" spans="1:7">
      <c r="A850" s="38"/>
      <c r="B850" s="39"/>
      <c r="C850" s="32"/>
      <c r="D850" s="32"/>
      <c r="G850" s="23"/>
    </row>
    <row r="851" spans="1:7">
      <c r="A851" s="38"/>
      <c r="B851" s="39"/>
      <c r="C851" s="32"/>
      <c r="D851" s="32"/>
      <c r="G851" s="23"/>
    </row>
    <row r="852" spans="1:7">
      <c r="A852" s="38"/>
      <c r="B852" s="39"/>
      <c r="C852" s="32"/>
      <c r="D852" s="32"/>
      <c r="G852" s="23"/>
    </row>
    <row r="853" spans="1:7">
      <c r="A853" s="38"/>
      <c r="B853" s="39"/>
      <c r="C853" s="32"/>
      <c r="D853" s="32"/>
      <c r="G853" s="23"/>
    </row>
    <row r="854" spans="1:7">
      <c r="A854" s="38"/>
      <c r="B854" s="39"/>
      <c r="C854" s="32"/>
      <c r="D854" s="32"/>
      <c r="G854" s="23"/>
    </row>
    <row r="855" spans="1:7">
      <c r="A855" s="38"/>
      <c r="B855" s="39"/>
      <c r="C855" s="32"/>
      <c r="D855" s="32"/>
      <c r="G855" s="23"/>
    </row>
    <row r="856" spans="1:7">
      <c r="A856" s="38"/>
      <c r="B856" s="39"/>
      <c r="C856" s="32"/>
      <c r="D856" s="32"/>
      <c r="G856" s="23"/>
    </row>
    <row r="857" spans="1:7">
      <c r="A857" s="38"/>
      <c r="B857" s="39"/>
      <c r="C857" s="32"/>
      <c r="D857" s="32"/>
      <c r="G857" s="23"/>
    </row>
    <row r="858" spans="1:7">
      <c r="A858" s="38"/>
      <c r="B858" s="39"/>
      <c r="C858" s="32"/>
      <c r="D858" s="32"/>
      <c r="G858" s="23"/>
    </row>
    <row r="859" spans="1:7">
      <c r="A859" s="38"/>
      <c r="B859" s="39"/>
      <c r="C859" s="32"/>
      <c r="D859" s="32"/>
      <c r="G859" s="23"/>
    </row>
    <row r="860" spans="1:7">
      <c r="A860" s="38"/>
      <c r="B860" s="39"/>
      <c r="C860" s="32"/>
      <c r="D860" s="32"/>
      <c r="G860" s="23"/>
    </row>
    <row r="861" spans="1:7">
      <c r="A861" s="38"/>
      <c r="B861" s="39"/>
      <c r="C861" s="32"/>
      <c r="D861" s="32"/>
      <c r="G861" s="23"/>
    </row>
    <row r="862" spans="1:7">
      <c r="A862" s="38"/>
      <c r="B862" s="39"/>
      <c r="C862" s="32"/>
      <c r="D862" s="32"/>
      <c r="G862" s="23"/>
    </row>
    <row r="863" spans="1:7">
      <c r="A863" s="38"/>
      <c r="B863" s="39"/>
      <c r="C863" s="32"/>
      <c r="D863" s="32"/>
      <c r="G863" s="23"/>
    </row>
    <row r="864" spans="1:7">
      <c r="A864" s="38"/>
      <c r="B864" s="39"/>
      <c r="C864" s="32"/>
      <c r="D864" s="32"/>
      <c r="G864" s="23"/>
    </row>
    <row r="865" spans="1:7">
      <c r="A865" s="38"/>
      <c r="B865" s="39"/>
      <c r="C865" s="32"/>
      <c r="D865" s="32"/>
      <c r="G865" s="23"/>
    </row>
    <row r="866" spans="1:7">
      <c r="A866" s="38"/>
      <c r="B866" s="39"/>
      <c r="C866" s="32"/>
      <c r="D866" s="32"/>
      <c r="G866" s="23"/>
    </row>
    <row r="867" spans="1:7">
      <c r="A867" s="38"/>
      <c r="B867" s="39"/>
      <c r="C867" s="32"/>
      <c r="D867" s="32"/>
      <c r="G867" s="23"/>
    </row>
    <row r="868" spans="1:7">
      <c r="A868" s="38"/>
      <c r="B868" s="39"/>
      <c r="C868" s="32"/>
      <c r="D868" s="32"/>
      <c r="G868" s="23"/>
    </row>
    <row r="869" spans="1:7">
      <c r="A869" s="38"/>
      <c r="B869" s="39"/>
      <c r="C869" s="32"/>
      <c r="D869" s="32"/>
      <c r="G869" s="23"/>
    </row>
    <row r="870" spans="1:7">
      <c r="A870" s="38"/>
      <c r="B870" s="39"/>
      <c r="C870" s="32"/>
      <c r="D870" s="32"/>
      <c r="G870" s="23"/>
    </row>
    <row r="871" spans="1:7">
      <c r="A871" s="38"/>
      <c r="B871" s="39"/>
      <c r="C871" s="32"/>
      <c r="D871" s="32"/>
      <c r="G871" s="23"/>
    </row>
    <row r="872" spans="1:7">
      <c r="A872" s="38"/>
      <c r="B872" s="39"/>
      <c r="C872" s="32"/>
      <c r="D872" s="32"/>
      <c r="G872" s="23"/>
    </row>
    <row r="873" spans="1:7">
      <c r="A873" s="38"/>
      <c r="B873" s="39"/>
      <c r="C873" s="32"/>
      <c r="D873" s="32"/>
      <c r="G873" s="23"/>
    </row>
    <row r="874" spans="1:7">
      <c r="A874" s="38"/>
      <c r="B874" s="39"/>
      <c r="C874" s="32"/>
      <c r="D874" s="32"/>
      <c r="G874" s="23"/>
    </row>
    <row r="875" spans="1:7">
      <c r="A875" s="38"/>
      <c r="B875" s="39"/>
      <c r="C875" s="32"/>
      <c r="D875" s="32"/>
      <c r="G875" s="23"/>
    </row>
    <row r="876" spans="1:7">
      <c r="A876" s="38"/>
      <c r="B876" s="39"/>
      <c r="C876" s="32"/>
      <c r="D876" s="32"/>
      <c r="G876" s="23"/>
    </row>
    <row r="877" spans="1:7">
      <c r="A877" s="38"/>
      <c r="B877" s="39"/>
      <c r="C877" s="32"/>
      <c r="D877" s="32"/>
      <c r="G877" s="23"/>
    </row>
    <row r="878" spans="1:7">
      <c r="A878" s="38"/>
      <c r="B878" s="39"/>
      <c r="C878" s="32"/>
      <c r="D878" s="32"/>
      <c r="G878" s="23"/>
    </row>
    <row r="879" spans="1:7">
      <c r="A879" s="38"/>
      <c r="B879" s="39"/>
      <c r="C879" s="32"/>
      <c r="D879" s="32"/>
      <c r="G879" s="23"/>
    </row>
    <row r="880" spans="1:7">
      <c r="A880" s="38"/>
      <c r="B880" s="39"/>
      <c r="C880" s="32"/>
      <c r="D880" s="32"/>
      <c r="G880" s="23"/>
    </row>
    <row r="881" spans="1:7">
      <c r="A881" s="38"/>
      <c r="B881" s="39"/>
      <c r="C881" s="32"/>
      <c r="D881" s="32"/>
      <c r="G881" s="23"/>
    </row>
    <row r="882" spans="1:7">
      <c r="A882" s="38"/>
      <c r="B882" s="39"/>
      <c r="C882" s="32"/>
      <c r="D882" s="32"/>
      <c r="G882" s="23"/>
    </row>
    <row r="883" spans="1:7">
      <c r="A883" s="38"/>
      <c r="B883" s="39"/>
      <c r="C883" s="32"/>
      <c r="D883" s="32"/>
      <c r="G883" s="23"/>
    </row>
    <row r="884" spans="1:7">
      <c r="A884" s="38"/>
      <c r="B884" s="39"/>
      <c r="C884" s="32"/>
      <c r="D884" s="32"/>
      <c r="G884" s="23"/>
    </row>
    <row r="885" spans="1:7">
      <c r="A885" s="38"/>
      <c r="B885" s="39"/>
      <c r="C885" s="32"/>
      <c r="D885" s="32"/>
      <c r="G885" s="23"/>
    </row>
    <row r="886" spans="1:7">
      <c r="A886" s="38"/>
      <c r="B886" s="39"/>
      <c r="C886" s="32"/>
      <c r="D886" s="32"/>
      <c r="G886" s="23"/>
    </row>
    <row r="887" spans="1:7">
      <c r="A887" s="38"/>
      <c r="B887" s="39"/>
      <c r="C887" s="32"/>
      <c r="D887" s="32"/>
      <c r="G887" s="23"/>
    </row>
    <row r="888" spans="1:7">
      <c r="A888" s="38"/>
      <c r="B888" s="39"/>
      <c r="C888" s="32"/>
      <c r="D888" s="32"/>
      <c r="G888" s="23"/>
    </row>
    <row r="889" spans="1:7">
      <c r="A889" s="38"/>
      <c r="B889" s="39"/>
      <c r="C889" s="32"/>
      <c r="D889" s="32"/>
      <c r="G889" s="23"/>
    </row>
    <row r="890" spans="1:7">
      <c r="A890" s="38"/>
      <c r="B890" s="39"/>
      <c r="C890" s="32"/>
      <c r="D890" s="32"/>
      <c r="G890" s="23"/>
    </row>
    <row r="891" spans="1:7">
      <c r="A891" s="38"/>
      <c r="B891" s="39"/>
      <c r="C891" s="32"/>
      <c r="D891" s="32"/>
      <c r="G891" s="23"/>
    </row>
    <row r="892" spans="1:7">
      <c r="A892" s="38"/>
      <c r="B892" s="39"/>
      <c r="C892" s="32"/>
      <c r="D892" s="32"/>
      <c r="G892" s="23"/>
    </row>
    <row r="893" spans="1:7">
      <c r="A893" s="38"/>
      <c r="B893" s="39"/>
      <c r="C893" s="32"/>
      <c r="D893" s="32"/>
      <c r="G893" s="23"/>
    </row>
    <row r="894" spans="1:7">
      <c r="A894" s="38"/>
      <c r="B894" s="39"/>
      <c r="C894" s="32"/>
      <c r="D894" s="32"/>
      <c r="G894" s="23"/>
    </row>
    <row r="895" spans="1:7">
      <c r="A895" s="38"/>
      <c r="B895" s="39"/>
      <c r="C895" s="32"/>
      <c r="D895" s="32"/>
      <c r="G895" s="23"/>
    </row>
    <row r="896" spans="1:7">
      <c r="A896" s="38"/>
      <c r="B896" s="39"/>
      <c r="C896" s="32"/>
      <c r="D896" s="32"/>
      <c r="G896" s="23"/>
    </row>
    <row r="897" spans="1:7">
      <c r="A897" s="38"/>
      <c r="B897" s="39"/>
      <c r="C897" s="32"/>
      <c r="D897" s="32"/>
      <c r="G897" s="23"/>
    </row>
    <row r="898" spans="1:7">
      <c r="A898" s="38"/>
      <c r="B898" s="39"/>
      <c r="C898" s="32"/>
      <c r="D898" s="32"/>
      <c r="G898" s="23"/>
    </row>
    <row r="899" spans="1:7">
      <c r="A899" s="38"/>
      <c r="B899" s="39"/>
      <c r="C899" s="32"/>
      <c r="D899" s="32"/>
      <c r="G899" s="23"/>
    </row>
    <row r="900" spans="1:7">
      <c r="A900" s="38"/>
      <c r="B900" s="39"/>
      <c r="C900" s="32"/>
      <c r="D900" s="32"/>
      <c r="G900" s="23"/>
    </row>
    <row r="901" spans="1:7">
      <c r="A901" s="38"/>
      <c r="B901" s="39"/>
      <c r="C901" s="32"/>
      <c r="D901" s="32"/>
      <c r="G901" s="23"/>
    </row>
    <row r="902" spans="1:7">
      <c r="A902" s="38"/>
      <c r="B902" s="39"/>
      <c r="C902" s="32"/>
      <c r="D902" s="32"/>
      <c r="G902" s="23"/>
    </row>
    <row r="903" spans="1:7">
      <c r="A903" s="38"/>
      <c r="B903" s="39"/>
      <c r="C903" s="32"/>
      <c r="D903" s="32"/>
      <c r="G903" s="23"/>
    </row>
    <row r="904" spans="1:7">
      <c r="A904" s="38"/>
      <c r="B904" s="39"/>
      <c r="C904" s="32"/>
      <c r="D904" s="32"/>
      <c r="G904" s="23"/>
    </row>
    <row r="905" spans="1:7">
      <c r="A905" s="38"/>
      <c r="B905" s="39"/>
      <c r="C905" s="32"/>
      <c r="D905" s="32"/>
      <c r="G905" s="23"/>
    </row>
    <row r="906" spans="1:7">
      <c r="A906" s="38"/>
      <c r="B906" s="39"/>
      <c r="C906" s="32"/>
      <c r="D906" s="32"/>
      <c r="G906" s="23"/>
    </row>
    <row r="907" spans="1:7">
      <c r="A907" s="38"/>
      <c r="B907" s="39"/>
      <c r="C907" s="32"/>
      <c r="D907" s="32"/>
      <c r="G907" s="23"/>
    </row>
    <row r="908" spans="1:7">
      <c r="A908" s="38"/>
      <c r="B908" s="39"/>
      <c r="C908" s="32"/>
      <c r="D908" s="32"/>
      <c r="G908" s="23"/>
    </row>
    <row r="909" spans="1:7">
      <c r="A909" s="38"/>
      <c r="B909" s="39"/>
      <c r="C909" s="32"/>
      <c r="D909" s="32"/>
      <c r="G909" s="23"/>
    </row>
    <row r="910" spans="1:7">
      <c r="A910" s="38"/>
      <c r="B910" s="39"/>
      <c r="C910" s="32"/>
      <c r="D910" s="32"/>
      <c r="G910" s="23"/>
    </row>
    <row r="911" spans="1:7">
      <c r="A911" s="38"/>
      <c r="B911" s="39"/>
      <c r="C911" s="32"/>
      <c r="D911" s="32"/>
      <c r="G911" s="23"/>
    </row>
    <row r="912" spans="1:7">
      <c r="A912" s="38"/>
      <c r="B912" s="39"/>
      <c r="C912" s="32"/>
      <c r="D912" s="32"/>
      <c r="G912" s="23"/>
    </row>
    <row r="913" spans="1:7">
      <c r="A913" s="38"/>
      <c r="B913" s="39"/>
      <c r="C913" s="32"/>
      <c r="D913" s="32"/>
      <c r="G913" s="23"/>
    </row>
    <row r="914" spans="1:7">
      <c r="A914" s="38"/>
      <c r="B914" s="39"/>
      <c r="C914" s="32"/>
      <c r="D914" s="32"/>
      <c r="G914" s="23"/>
    </row>
    <row r="915" spans="1:7">
      <c r="A915" s="38"/>
      <c r="B915" s="39"/>
      <c r="C915" s="32"/>
      <c r="D915" s="32"/>
      <c r="G915" s="23"/>
    </row>
    <row r="916" spans="1:7">
      <c r="A916" s="38"/>
      <c r="B916" s="39"/>
      <c r="C916" s="32"/>
      <c r="D916" s="32"/>
      <c r="G916" s="23"/>
    </row>
    <row r="917" spans="1:7">
      <c r="A917" s="38"/>
      <c r="B917" s="39"/>
      <c r="C917" s="32"/>
      <c r="D917" s="32"/>
      <c r="G917" s="23"/>
    </row>
    <row r="918" spans="1:7">
      <c r="A918" s="38"/>
      <c r="B918" s="39"/>
      <c r="C918" s="32"/>
      <c r="D918" s="32"/>
      <c r="G918" s="23"/>
    </row>
    <row r="919" spans="1:7">
      <c r="A919" s="38"/>
      <c r="B919" s="39"/>
      <c r="C919" s="32"/>
      <c r="D919" s="32"/>
      <c r="G919" s="23"/>
    </row>
    <row r="920" spans="1:7">
      <c r="A920" s="38"/>
      <c r="B920" s="39"/>
      <c r="C920" s="32"/>
      <c r="D920" s="32"/>
      <c r="G920" s="23"/>
    </row>
    <row r="921" spans="1:7">
      <c r="A921" s="38"/>
      <c r="B921" s="39"/>
      <c r="C921" s="32"/>
      <c r="D921" s="32"/>
      <c r="G921" s="23"/>
    </row>
    <row r="922" spans="1:7">
      <c r="A922" s="38"/>
      <c r="B922" s="39"/>
      <c r="C922" s="32"/>
      <c r="D922" s="32"/>
      <c r="G922" s="23"/>
    </row>
    <row r="923" spans="1:7">
      <c r="A923" s="38"/>
      <c r="B923" s="39"/>
      <c r="C923" s="32"/>
      <c r="D923" s="32"/>
      <c r="G923" s="23"/>
    </row>
    <row r="924" spans="1:7">
      <c r="A924" s="38"/>
      <c r="B924" s="39"/>
      <c r="C924" s="32"/>
      <c r="D924" s="32"/>
      <c r="G924" s="23"/>
    </row>
    <row r="925" spans="1:7">
      <c r="A925" s="38"/>
      <c r="B925" s="39"/>
      <c r="C925" s="32"/>
      <c r="D925" s="32"/>
      <c r="G925" s="23"/>
    </row>
    <row r="926" spans="1:7">
      <c r="A926" s="38"/>
      <c r="B926" s="39"/>
      <c r="C926" s="32"/>
      <c r="D926" s="32"/>
      <c r="G926" s="23"/>
    </row>
    <row r="927" spans="1:7">
      <c r="A927" s="38"/>
      <c r="B927" s="39"/>
      <c r="C927" s="32"/>
      <c r="D927" s="32"/>
      <c r="G927" s="23"/>
    </row>
    <row r="928" spans="1:7">
      <c r="A928" s="38"/>
      <c r="B928" s="39"/>
      <c r="C928" s="32"/>
      <c r="D928" s="32"/>
      <c r="G928" s="23"/>
    </row>
    <row r="929" spans="1:7">
      <c r="A929" s="38"/>
      <c r="B929" s="39"/>
      <c r="C929" s="32"/>
      <c r="D929" s="32"/>
      <c r="G929" s="23"/>
    </row>
    <row r="930" spans="1:7">
      <c r="A930" s="38"/>
      <c r="B930" s="39"/>
      <c r="C930" s="32"/>
      <c r="D930" s="32"/>
      <c r="G930" s="23"/>
    </row>
    <row r="931" spans="1:7">
      <c r="A931" s="38"/>
      <c r="B931" s="39"/>
      <c r="C931" s="32"/>
      <c r="D931" s="32"/>
      <c r="G931" s="23"/>
    </row>
    <row r="932" spans="1:7">
      <c r="A932" s="38"/>
      <c r="B932" s="39"/>
      <c r="C932" s="32"/>
      <c r="D932" s="32"/>
      <c r="G932" s="23"/>
    </row>
    <row r="933" spans="1:7">
      <c r="A933" s="38"/>
      <c r="B933" s="39"/>
      <c r="C933" s="32"/>
      <c r="D933" s="32"/>
      <c r="G933" s="23"/>
    </row>
    <row r="934" spans="1:7">
      <c r="A934" s="38"/>
      <c r="B934" s="39"/>
      <c r="C934" s="32"/>
      <c r="D934" s="32"/>
      <c r="G934" s="23"/>
    </row>
    <row r="935" spans="1:7">
      <c r="A935" s="38"/>
      <c r="B935" s="39"/>
      <c r="C935" s="32"/>
      <c r="D935" s="32"/>
      <c r="G935" s="23"/>
    </row>
    <row r="936" spans="1:7">
      <c r="A936" s="38"/>
      <c r="B936" s="39"/>
      <c r="C936" s="32"/>
      <c r="D936" s="32"/>
      <c r="G936" s="23"/>
    </row>
    <row r="937" spans="1:7">
      <c r="A937" s="38"/>
      <c r="B937" s="39"/>
      <c r="C937" s="32"/>
      <c r="D937" s="32"/>
      <c r="G937" s="23"/>
    </row>
    <row r="938" spans="1:7">
      <c r="A938" s="38"/>
      <c r="B938" s="39"/>
      <c r="C938" s="32"/>
      <c r="D938" s="32"/>
      <c r="G938" s="23"/>
    </row>
    <row r="939" spans="1:7">
      <c r="A939" s="38"/>
      <c r="B939" s="39"/>
      <c r="C939" s="32"/>
      <c r="D939" s="32"/>
      <c r="G939" s="23"/>
    </row>
    <row r="940" spans="1:7">
      <c r="A940" s="38"/>
      <c r="B940" s="39"/>
      <c r="C940" s="32"/>
      <c r="D940" s="32"/>
      <c r="G940" s="23"/>
    </row>
    <row r="941" spans="1:7">
      <c r="A941" s="38"/>
      <c r="B941" s="39"/>
      <c r="C941" s="32"/>
      <c r="D941" s="32"/>
      <c r="G941" s="23"/>
    </row>
    <row r="942" spans="1:7">
      <c r="A942" s="38"/>
      <c r="B942" s="39"/>
      <c r="C942" s="32"/>
      <c r="D942" s="32"/>
      <c r="G942" s="23"/>
    </row>
    <row r="943" spans="1:7">
      <c r="A943" s="38"/>
      <c r="B943" s="39"/>
      <c r="C943" s="32"/>
      <c r="D943" s="32"/>
      <c r="G943" s="23"/>
    </row>
    <row r="944" spans="1:7">
      <c r="A944" s="38"/>
      <c r="B944" s="39"/>
      <c r="C944" s="32"/>
      <c r="D944" s="32"/>
      <c r="G944" s="23"/>
    </row>
    <row r="945" spans="1:7">
      <c r="A945" s="38"/>
      <c r="B945" s="39"/>
      <c r="C945" s="32"/>
      <c r="D945" s="32"/>
      <c r="G945" s="23"/>
    </row>
    <row r="946" spans="1:7">
      <c r="A946" s="38"/>
      <c r="B946" s="39"/>
      <c r="C946" s="32"/>
      <c r="D946" s="32"/>
      <c r="G946" s="23"/>
    </row>
    <row r="947" spans="1:7">
      <c r="A947" s="38"/>
      <c r="B947" s="39"/>
      <c r="C947" s="32"/>
      <c r="D947" s="32"/>
      <c r="G947" s="23"/>
    </row>
    <row r="948" spans="1:7">
      <c r="A948" s="38"/>
      <c r="B948" s="39"/>
      <c r="C948" s="32"/>
      <c r="D948" s="32"/>
      <c r="G948" s="23"/>
    </row>
    <row r="949" spans="1:7">
      <c r="A949" s="38"/>
      <c r="B949" s="39"/>
      <c r="C949" s="32"/>
      <c r="D949" s="32"/>
      <c r="G949" s="23"/>
    </row>
    <row r="950" spans="1:7">
      <c r="A950" s="38"/>
      <c r="B950" s="39"/>
      <c r="C950" s="32"/>
      <c r="D950" s="32"/>
      <c r="G950" s="23"/>
    </row>
    <row r="951" spans="1:7">
      <c r="A951" s="38"/>
      <c r="B951" s="39"/>
      <c r="C951" s="32"/>
      <c r="D951" s="32"/>
      <c r="G951" s="23"/>
    </row>
    <row r="952" spans="1:7">
      <c r="A952" s="38"/>
      <c r="B952" s="39"/>
      <c r="C952" s="32"/>
      <c r="D952" s="32"/>
      <c r="G952" s="23"/>
    </row>
    <row r="953" spans="1:7">
      <c r="A953" s="38"/>
      <c r="B953" s="39"/>
      <c r="C953" s="32"/>
      <c r="D953" s="32"/>
      <c r="G953" s="23"/>
    </row>
    <row r="954" spans="1:7">
      <c r="A954" s="38"/>
      <c r="B954" s="39"/>
      <c r="C954" s="32"/>
      <c r="D954" s="32"/>
      <c r="G954" s="23"/>
    </row>
    <row r="955" spans="1:7">
      <c r="A955" s="38"/>
      <c r="B955" s="39"/>
      <c r="C955" s="32"/>
      <c r="D955" s="32"/>
      <c r="G955" s="23"/>
    </row>
    <row r="956" spans="1:7">
      <c r="A956" s="38"/>
      <c r="B956" s="39"/>
      <c r="C956" s="32"/>
      <c r="D956" s="32"/>
      <c r="G956" s="23"/>
    </row>
    <row r="957" spans="1:7">
      <c r="A957" s="38"/>
      <c r="B957" s="39"/>
      <c r="C957" s="32"/>
      <c r="D957" s="32"/>
      <c r="G957" s="23"/>
    </row>
    <row r="958" spans="1:7">
      <c r="A958" s="38"/>
      <c r="B958" s="39"/>
      <c r="C958" s="32"/>
      <c r="D958" s="32"/>
      <c r="G958" s="23"/>
    </row>
    <row r="959" spans="1:7">
      <c r="A959" s="38"/>
      <c r="B959" s="39"/>
      <c r="C959" s="32"/>
      <c r="D959" s="32"/>
      <c r="G959" s="23"/>
    </row>
    <row r="960" spans="1:7">
      <c r="A960" s="38"/>
      <c r="B960" s="39"/>
      <c r="C960" s="32"/>
      <c r="D960" s="32"/>
      <c r="G960" s="23"/>
    </row>
    <row r="961" spans="1:7">
      <c r="A961" s="38"/>
      <c r="B961" s="39"/>
      <c r="C961" s="32"/>
      <c r="D961" s="32"/>
      <c r="G961" s="23"/>
    </row>
    <row r="962" spans="1:7">
      <c r="A962" s="38"/>
      <c r="B962" s="39"/>
      <c r="C962" s="32"/>
      <c r="D962" s="32"/>
      <c r="G962" s="23"/>
    </row>
    <row r="963" spans="1:7">
      <c r="A963" s="38"/>
      <c r="B963" s="39"/>
      <c r="C963" s="32"/>
      <c r="D963" s="32"/>
      <c r="G963" s="23"/>
    </row>
    <row r="964" spans="1:7">
      <c r="A964" s="38"/>
      <c r="B964" s="39"/>
      <c r="C964" s="32"/>
      <c r="D964" s="32"/>
      <c r="G964" s="23"/>
    </row>
    <row r="965" spans="1:7">
      <c r="A965" s="38"/>
      <c r="B965" s="39"/>
      <c r="C965" s="32"/>
      <c r="D965" s="32"/>
      <c r="G965" s="23"/>
    </row>
    <row r="966" spans="1:7">
      <c r="A966" s="38"/>
      <c r="B966" s="39"/>
      <c r="C966" s="32"/>
      <c r="D966" s="32"/>
      <c r="G966" s="23"/>
    </row>
    <row r="967" spans="1:7">
      <c r="A967" s="38"/>
      <c r="B967" s="39"/>
      <c r="C967" s="32"/>
      <c r="D967" s="32"/>
      <c r="G967" s="23"/>
    </row>
    <row r="968" spans="1:7">
      <c r="A968" s="38"/>
      <c r="B968" s="39"/>
      <c r="C968" s="32"/>
      <c r="D968" s="32"/>
      <c r="G968" s="23"/>
    </row>
    <row r="969" spans="1:7">
      <c r="A969" s="38"/>
      <c r="B969" s="39"/>
      <c r="C969" s="32"/>
      <c r="D969" s="32"/>
      <c r="G969" s="23"/>
    </row>
    <row r="970" spans="1:7">
      <c r="A970" s="38"/>
      <c r="B970" s="39"/>
      <c r="C970" s="32"/>
      <c r="D970" s="32"/>
      <c r="G970" s="23"/>
    </row>
    <row r="971" spans="1:7">
      <c r="A971" s="38"/>
      <c r="B971" s="39"/>
      <c r="C971" s="32"/>
      <c r="D971" s="32"/>
      <c r="G971" s="23"/>
    </row>
    <row r="972" spans="1:7">
      <c r="A972" s="38"/>
      <c r="B972" s="39"/>
      <c r="C972" s="32"/>
      <c r="D972" s="32"/>
      <c r="G972" s="23"/>
    </row>
    <row r="973" spans="1:7">
      <c r="A973" s="38"/>
      <c r="B973" s="39"/>
      <c r="C973" s="32"/>
      <c r="D973" s="32"/>
      <c r="G973" s="23"/>
    </row>
    <row r="974" spans="1:7">
      <c r="A974" s="38"/>
      <c r="B974" s="39"/>
      <c r="C974" s="32"/>
      <c r="D974" s="32"/>
      <c r="G974" s="23"/>
    </row>
    <row r="975" spans="1:7">
      <c r="A975" s="38"/>
      <c r="B975" s="39"/>
      <c r="C975" s="32"/>
      <c r="D975" s="32"/>
      <c r="G975" s="23"/>
    </row>
    <row r="976" spans="1:7">
      <c r="A976" s="38"/>
      <c r="B976" s="39"/>
      <c r="C976" s="32"/>
      <c r="D976" s="32"/>
      <c r="G976" s="23"/>
    </row>
    <row r="977" spans="1:7">
      <c r="A977" s="38"/>
      <c r="B977" s="39"/>
      <c r="C977" s="32"/>
      <c r="D977" s="32"/>
      <c r="G977" s="23"/>
    </row>
    <row r="978" spans="1:7">
      <c r="A978" s="38"/>
      <c r="B978" s="39"/>
      <c r="C978" s="32"/>
      <c r="D978" s="32"/>
      <c r="G978" s="23"/>
    </row>
    <row r="979" spans="1:7">
      <c r="A979" s="38"/>
      <c r="B979" s="39"/>
      <c r="C979" s="32"/>
      <c r="D979" s="32"/>
      <c r="G979" s="23"/>
    </row>
    <row r="980" spans="1:7">
      <c r="A980" s="38"/>
      <c r="B980" s="39"/>
      <c r="C980" s="32"/>
      <c r="D980" s="32"/>
      <c r="G980" s="23"/>
    </row>
    <row r="981" spans="1:7">
      <c r="A981" s="38"/>
      <c r="B981" s="39"/>
      <c r="C981" s="32"/>
      <c r="D981" s="32"/>
      <c r="G981" s="23"/>
    </row>
    <row r="982" spans="1:7">
      <c r="A982" s="38"/>
      <c r="B982" s="39"/>
      <c r="C982" s="32"/>
      <c r="D982" s="32"/>
      <c r="G982" s="23"/>
    </row>
    <row r="983" spans="1:7">
      <c r="A983" s="38"/>
      <c r="B983" s="39"/>
      <c r="C983" s="32"/>
      <c r="D983" s="32"/>
      <c r="G983" s="23"/>
    </row>
    <row r="984" spans="1:7">
      <c r="A984" s="38"/>
      <c r="B984" s="39"/>
      <c r="C984" s="32"/>
      <c r="D984" s="32"/>
      <c r="G984" s="23"/>
    </row>
    <row r="985" spans="1:7">
      <c r="A985" s="38"/>
      <c r="B985" s="39"/>
      <c r="C985" s="32"/>
      <c r="D985" s="32"/>
      <c r="G985" s="23"/>
    </row>
    <row r="986" spans="1:7">
      <c r="A986" s="38"/>
      <c r="B986" s="39"/>
      <c r="C986" s="32"/>
      <c r="D986" s="32"/>
      <c r="G986" s="23"/>
    </row>
    <row r="987" spans="1:7">
      <c r="A987" s="38"/>
      <c r="B987" s="39"/>
      <c r="C987" s="32"/>
      <c r="D987" s="32"/>
      <c r="G987" s="23"/>
    </row>
    <row r="988" spans="1:7">
      <c r="A988" s="38"/>
      <c r="B988" s="39"/>
      <c r="C988" s="32"/>
      <c r="D988" s="32"/>
      <c r="G988" s="23"/>
    </row>
    <row r="989" spans="1:7">
      <c r="A989" s="38"/>
      <c r="B989" s="39"/>
      <c r="C989" s="32"/>
      <c r="D989" s="32"/>
      <c r="G989" s="23"/>
    </row>
    <row r="990" spans="1:7">
      <c r="A990" s="38"/>
      <c r="B990" s="39"/>
      <c r="C990" s="32"/>
      <c r="D990" s="32"/>
      <c r="G990" s="23"/>
    </row>
    <row r="991" spans="1:7">
      <c r="A991" s="38"/>
      <c r="B991" s="39"/>
      <c r="C991" s="32"/>
      <c r="D991" s="32"/>
      <c r="G991" s="23"/>
    </row>
    <row r="992" spans="1:7">
      <c r="A992" s="38"/>
      <c r="B992" s="39"/>
      <c r="C992" s="32"/>
      <c r="D992" s="32"/>
      <c r="G992" s="23"/>
    </row>
    <row r="993" spans="1:7">
      <c r="A993" s="38"/>
      <c r="B993" s="39"/>
      <c r="C993" s="32"/>
      <c r="D993" s="32"/>
      <c r="G993" s="23"/>
    </row>
    <row r="994" spans="1:7">
      <c r="A994" s="38"/>
      <c r="B994" s="39"/>
      <c r="C994" s="32"/>
      <c r="D994" s="32"/>
      <c r="G994" s="23"/>
    </row>
    <row r="995" spans="1:7">
      <c r="A995" s="38"/>
      <c r="B995" s="39"/>
      <c r="C995" s="32"/>
      <c r="D995" s="32"/>
      <c r="G995" s="23"/>
    </row>
    <row r="996" spans="1:7">
      <c r="A996" s="38"/>
      <c r="B996" s="39"/>
      <c r="C996" s="32"/>
      <c r="D996" s="32"/>
      <c r="G996" s="23"/>
    </row>
    <row r="997" spans="1:7">
      <c r="A997" s="38"/>
      <c r="B997" s="39"/>
      <c r="C997" s="32"/>
      <c r="D997" s="32"/>
      <c r="G997" s="23"/>
    </row>
    <row r="998" spans="1:7">
      <c r="A998" s="38"/>
      <c r="B998" s="39"/>
      <c r="C998" s="32"/>
      <c r="D998" s="32"/>
      <c r="G998" s="23"/>
    </row>
    <row r="999" spans="1:7">
      <c r="A999" s="38"/>
      <c r="B999" s="39"/>
      <c r="C999" s="32"/>
      <c r="D999" s="32"/>
      <c r="G999" s="23"/>
    </row>
    <row r="1000" spans="1:7">
      <c r="A1000" s="38"/>
      <c r="B1000" s="39"/>
      <c r="C1000" s="32"/>
      <c r="D1000" s="32"/>
      <c r="G1000" s="23"/>
    </row>
    <row r="1001" spans="1:7">
      <c r="A1001" s="38"/>
      <c r="B1001" s="39"/>
      <c r="C1001" s="32"/>
      <c r="D1001" s="32"/>
      <c r="G1001" s="23"/>
    </row>
    <row r="1002" spans="1:7">
      <c r="A1002" s="38"/>
      <c r="B1002" s="39"/>
      <c r="C1002" s="32"/>
      <c r="D1002" s="32"/>
      <c r="G1002" s="23"/>
    </row>
    <row r="1003" spans="1:7">
      <c r="A1003" s="38"/>
      <c r="B1003" s="39"/>
      <c r="C1003" s="32"/>
      <c r="D1003" s="32"/>
      <c r="G1003" s="23"/>
    </row>
    <row r="1004" spans="1:7">
      <c r="A1004" s="38"/>
      <c r="B1004" s="39"/>
      <c r="C1004" s="32"/>
      <c r="D1004" s="32"/>
      <c r="G1004" s="23"/>
    </row>
    <row r="1005" spans="1:7">
      <c r="A1005" s="38"/>
      <c r="B1005" s="39"/>
      <c r="C1005" s="32"/>
      <c r="D1005" s="32"/>
      <c r="G1005" s="23"/>
    </row>
    <row r="1006" spans="1:7">
      <c r="A1006" s="38"/>
      <c r="B1006" s="39"/>
      <c r="C1006" s="32"/>
      <c r="D1006" s="32"/>
      <c r="G1006" s="23"/>
    </row>
    <row r="1007" spans="1:7">
      <c r="A1007" s="38"/>
      <c r="B1007" s="39"/>
      <c r="C1007" s="32"/>
      <c r="D1007" s="32"/>
      <c r="G1007" s="23"/>
    </row>
    <row r="1008" spans="1:7">
      <c r="A1008" s="38"/>
      <c r="B1008" s="39"/>
      <c r="C1008" s="32"/>
      <c r="D1008" s="32"/>
      <c r="G1008" s="23"/>
    </row>
    <row r="1009" spans="1:7">
      <c r="A1009" s="38"/>
      <c r="B1009" s="39"/>
      <c r="C1009" s="32"/>
      <c r="D1009" s="32"/>
      <c r="G1009" s="23"/>
    </row>
    <row r="1010" spans="1:7">
      <c r="A1010" s="38"/>
      <c r="B1010" s="39"/>
      <c r="C1010" s="32"/>
      <c r="D1010" s="32"/>
      <c r="G1010" s="23"/>
    </row>
    <row r="1011" spans="1:7">
      <c r="A1011" s="38"/>
      <c r="B1011" s="39"/>
      <c r="C1011" s="32"/>
      <c r="D1011" s="32"/>
      <c r="G1011" s="23"/>
    </row>
    <row r="1012" spans="1:7">
      <c r="A1012" s="38"/>
      <c r="B1012" s="39"/>
      <c r="C1012" s="32"/>
      <c r="D1012" s="32"/>
      <c r="G1012" s="23"/>
    </row>
    <row r="1013" spans="1:7">
      <c r="A1013" s="38"/>
      <c r="B1013" s="39"/>
      <c r="C1013" s="32"/>
      <c r="D1013" s="32"/>
      <c r="G1013" s="23"/>
    </row>
    <row r="1014" spans="1:7">
      <c r="A1014" s="38"/>
      <c r="B1014" s="39"/>
      <c r="C1014" s="32"/>
      <c r="D1014" s="32"/>
      <c r="G1014" s="23"/>
    </row>
    <row r="1015" spans="1:7">
      <c r="A1015" s="38"/>
      <c r="B1015" s="39"/>
      <c r="C1015" s="32"/>
      <c r="D1015" s="32"/>
      <c r="G1015" s="23"/>
    </row>
    <row r="1016" spans="1:7">
      <c r="A1016" s="38"/>
      <c r="B1016" s="39"/>
      <c r="C1016" s="32"/>
      <c r="D1016" s="32"/>
      <c r="G1016" s="23"/>
    </row>
    <row r="1017" spans="1:7">
      <c r="A1017" s="38"/>
      <c r="B1017" s="39"/>
      <c r="C1017" s="32"/>
      <c r="D1017" s="32"/>
      <c r="G1017" s="23"/>
    </row>
    <row r="1018" spans="1:7">
      <c r="A1018" s="38"/>
      <c r="B1018" s="39"/>
      <c r="C1018" s="32"/>
      <c r="D1018" s="32"/>
      <c r="G1018" s="23"/>
    </row>
    <row r="1019" spans="1:7">
      <c r="A1019" s="38"/>
      <c r="B1019" s="39"/>
      <c r="C1019" s="32"/>
      <c r="D1019" s="32"/>
      <c r="G1019" s="23"/>
    </row>
    <row r="1020" spans="1:7">
      <c r="A1020" s="38"/>
      <c r="B1020" s="39"/>
      <c r="C1020" s="32"/>
      <c r="D1020" s="32"/>
      <c r="G1020" s="23"/>
    </row>
    <row r="1021" spans="1:7">
      <c r="A1021" s="38"/>
      <c r="B1021" s="39"/>
      <c r="C1021" s="32"/>
      <c r="D1021" s="32"/>
      <c r="G1021" s="23"/>
    </row>
    <row r="1022" spans="1:7">
      <c r="A1022" s="38"/>
      <c r="B1022" s="39"/>
      <c r="C1022" s="32"/>
      <c r="D1022" s="32"/>
      <c r="G1022" s="23"/>
    </row>
    <row r="1023" spans="1:7">
      <c r="A1023" s="38"/>
      <c r="B1023" s="39"/>
      <c r="C1023" s="32"/>
      <c r="D1023" s="32"/>
      <c r="G1023" s="23"/>
    </row>
    <row r="1024" spans="1:7">
      <c r="A1024" s="38"/>
      <c r="B1024" s="39"/>
      <c r="C1024" s="32"/>
      <c r="D1024" s="32"/>
      <c r="G1024" s="23"/>
    </row>
    <row r="1025" spans="1:7">
      <c r="A1025" s="38"/>
      <c r="B1025" s="39"/>
      <c r="C1025" s="32"/>
      <c r="D1025" s="32"/>
      <c r="G1025" s="23"/>
    </row>
    <row r="1026" spans="1:7">
      <c r="A1026" s="38"/>
      <c r="B1026" s="39"/>
      <c r="C1026" s="32"/>
      <c r="D1026" s="32"/>
      <c r="G1026" s="23"/>
    </row>
    <row r="1027" spans="1:7">
      <c r="A1027" s="38"/>
      <c r="B1027" s="39"/>
      <c r="C1027" s="32"/>
      <c r="D1027" s="32"/>
      <c r="G1027" s="23"/>
    </row>
    <row r="1028" spans="1:7">
      <c r="A1028" s="38"/>
      <c r="B1028" s="39"/>
      <c r="C1028" s="32"/>
      <c r="D1028" s="32"/>
      <c r="G1028" s="23"/>
    </row>
    <row r="1029" spans="1:7">
      <c r="A1029" s="38"/>
      <c r="B1029" s="39"/>
      <c r="C1029" s="32"/>
      <c r="D1029" s="32"/>
      <c r="G1029" s="23"/>
    </row>
    <row r="1030" spans="1:7">
      <c r="A1030" s="38"/>
      <c r="B1030" s="39"/>
      <c r="C1030" s="32"/>
      <c r="D1030" s="32"/>
      <c r="G1030" s="23"/>
    </row>
    <row r="1031" spans="1:7">
      <c r="A1031" s="38"/>
      <c r="B1031" s="39"/>
      <c r="C1031" s="32"/>
      <c r="D1031" s="32"/>
      <c r="G1031" s="23"/>
    </row>
    <row r="1032" spans="1:7">
      <c r="A1032" s="38"/>
      <c r="B1032" s="39"/>
      <c r="C1032" s="32"/>
      <c r="D1032" s="32"/>
      <c r="G1032" s="23"/>
    </row>
    <row r="1033" spans="1:7">
      <c r="A1033" s="38"/>
      <c r="B1033" s="39"/>
      <c r="C1033" s="32"/>
      <c r="D1033" s="32"/>
      <c r="G1033" s="23"/>
    </row>
    <row r="1034" spans="1:7">
      <c r="A1034" s="38"/>
      <c r="B1034" s="39"/>
      <c r="C1034" s="32"/>
      <c r="D1034" s="32"/>
      <c r="G1034" s="23"/>
    </row>
    <row r="1035" spans="1:7">
      <c r="A1035" s="38"/>
      <c r="B1035" s="39"/>
      <c r="C1035" s="32"/>
      <c r="D1035" s="32"/>
      <c r="G1035" s="23"/>
    </row>
    <row r="1036" spans="1:7">
      <c r="A1036" s="38"/>
      <c r="B1036" s="39"/>
      <c r="C1036" s="32"/>
      <c r="D1036" s="32"/>
      <c r="G1036" s="23"/>
    </row>
    <row r="1037" spans="1:7">
      <c r="A1037" s="38"/>
      <c r="B1037" s="39"/>
      <c r="C1037" s="32"/>
      <c r="D1037" s="32"/>
      <c r="G1037" s="23"/>
    </row>
    <row r="1038" spans="1:7">
      <c r="A1038" s="38"/>
      <c r="B1038" s="39"/>
      <c r="C1038" s="32"/>
      <c r="D1038" s="32"/>
      <c r="G1038" s="23"/>
    </row>
    <row r="1039" spans="1:7">
      <c r="A1039" s="38"/>
      <c r="B1039" s="39"/>
      <c r="C1039" s="32"/>
      <c r="D1039" s="32"/>
      <c r="G1039" s="23"/>
    </row>
    <row r="1040" spans="1:7">
      <c r="A1040" s="38"/>
      <c r="B1040" s="39"/>
      <c r="C1040" s="32"/>
      <c r="D1040" s="32"/>
      <c r="G1040" s="23"/>
    </row>
    <row r="1041" spans="1:7">
      <c r="A1041" s="38"/>
      <c r="B1041" s="39"/>
      <c r="C1041" s="32"/>
      <c r="D1041" s="32"/>
      <c r="G1041" s="23"/>
    </row>
    <row r="1042" spans="1:7">
      <c r="A1042" s="38"/>
      <c r="B1042" s="39"/>
      <c r="C1042" s="32"/>
      <c r="D1042" s="32"/>
      <c r="G1042" s="23"/>
    </row>
    <row r="1043" spans="1:7">
      <c r="A1043" s="38"/>
      <c r="B1043" s="39"/>
      <c r="C1043" s="32"/>
      <c r="D1043" s="32"/>
      <c r="G1043" s="23"/>
    </row>
    <row r="1044" spans="1:7">
      <c r="A1044" s="38"/>
      <c r="B1044" s="39"/>
      <c r="C1044" s="32"/>
      <c r="D1044" s="32"/>
      <c r="G1044" s="23"/>
    </row>
    <row r="1045" spans="1:7">
      <c r="A1045" s="38"/>
      <c r="B1045" s="39"/>
      <c r="C1045" s="32"/>
      <c r="D1045" s="32"/>
      <c r="G1045" s="23"/>
    </row>
    <row r="1046" spans="1:7">
      <c r="A1046" s="38"/>
      <c r="B1046" s="39"/>
      <c r="C1046" s="32"/>
      <c r="D1046" s="32"/>
      <c r="G1046" s="23"/>
    </row>
    <row r="1047" spans="1:7">
      <c r="A1047" s="38"/>
      <c r="B1047" s="39"/>
      <c r="C1047" s="32"/>
      <c r="D1047" s="32"/>
      <c r="G1047" s="23"/>
    </row>
    <row r="1048" spans="1:7">
      <c r="A1048" s="38"/>
      <c r="B1048" s="39"/>
      <c r="C1048" s="32"/>
      <c r="D1048" s="32"/>
      <c r="G1048" s="23"/>
    </row>
    <row r="1049" spans="1:7">
      <c r="A1049" s="38"/>
      <c r="B1049" s="39"/>
      <c r="C1049" s="32"/>
      <c r="D1049" s="32"/>
      <c r="G1049" s="23"/>
    </row>
    <row r="1050" spans="1:7">
      <c r="A1050" s="38"/>
      <c r="B1050" s="39"/>
      <c r="C1050" s="32"/>
      <c r="D1050" s="32"/>
      <c r="G1050" s="23"/>
    </row>
    <row r="1051" spans="1:7">
      <c r="A1051" s="38"/>
      <c r="B1051" s="39"/>
      <c r="C1051" s="32"/>
      <c r="D1051" s="32"/>
      <c r="G1051" s="23"/>
    </row>
    <row r="1052" spans="1:7">
      <c r="A1052" s="38"/>
      <c r="B1052" s="39"/>
      <c r="C1052" s="32"/>
      <c r="D1052" s="32"/>
      <c r="G1052" s="23"/>
    </row>
    <row r="1053" spans="1:7">
      <c r="A1053" s="38"/>
      <c r="B1053" s="39"/>
      <c r="C1053" s="32"/>
      <c r="D1053" s="32"/>
      <c r="G1053" s="23"/>
    </row>
    <row r="1054" spans="1:7">
      <c r="A1054" s="38"/>
      <c r="B1054" s="39"/>
      <c r="C1054" s="32"/>
      <c r="D1054" s="32"/>
      <c r="G1054" s="23"/>
    </row>
    <row r="1055" spans="1:7">
      <c r="A1055" s="38"/>
      <c r="B1055" s="39"/>
      <c r="C1055" s="32"/>
      <c r="D1055" s="32"/>
      <c r="G1055" s="23"/>
    </row>
    <row r="1056" spans="1:7">
      <c r="A1056" s="38"/>
      <c r="B1056" s="39"/>
      <c r="C1056" s="32"/>
      <c r="D1056" s="32"/>
      <c r="G1056" s="23"/>
    </row>
    <row r="1057" spans="1:7">
      <c r="A1057" s="38"/>
      <c r="B1057" s="39"/>
      <c r="C1057" s="32"/>
      <c r="D1057" s="32"/>
      <c r="G1057" s="23"/>
    </row>
    <row r="1058" spans="1:7">
      <c r="A1058" s="38"/>
      <c r="B1058" s="39"/>
      <c r="C1058" s="32"/>
      <c r="D1058" s="32"/>
      <c r="G1058" s="23"/>
    </row>
    <row r="1059" spans="1:7">
      <c r="A1059" s="38"/>
      <c r="B1059" s="39"/>
      <c r="C1059" s="32"/>
      <c r="D1059" s="32"/>
      <c r="G1059" s="23"/>
    </row>
    <row r="1060" spans="1:7">
      <c r="A1060" s="38"/>
      <c r="B1060" s="39"/>
      <c r="C1060" s="32"/>
      <c r="D1060" s="32"/>
      <c r="G1060" s="23"/>
    </row>
    <row r="1061" spans="1:7">
      <c r="A1061" s="38"/>
      <c r="B1061" s="39"/>
      <c r="C1061" s="32"/>
      <c r="D1061" s="32"/>
      <c r="G1061" s="23"/>
    </row>
    <row r="1062" spans="1:7">
      <c r="A1062" s="38"/>
      <c r="B1062" s="39"/>
      <c r="C1062" s="32"/>
      <c r="D1062" s="32"/>
      <c r="G1062" s="23"/>
    </row>
    <row r="1063" spans="1:7">
      <c r="A1063" s="38"/>
      <c r="B1063" s="39"/>
      <c r="C1063" s="32"/>
      <c r="D1063" s="32"/>
      <c r="G1063" s="23"/>
    </row>
    <row r="1064" spans="1:7">
      <c r="A1064" s="38"/>
      <c r="B1064" s="39"/>
      <c r="C1064" s="32"/>
      <c r="D1064" s="32"/>
      <c r="G1064" s="23"/>
    </row>
    <row r="1065" spans="1:7">
      <c r="A1065" s="38"/>
      <c r="B1065" s="39"/>
      <c r="C1065" s="32"/>
      <c r="D1065" s="32"/>
      <c r="G1065" s="23"/>
    </row>
    <row r="1066" spans="1:7">
      <c r="A1066" s="38"/>
      <c r="B1066" s="39"/>
      <c r="C1066" s="32"/>
      <c r="D1066" s="32"/>
      <c r="G1066" s="23"/>
    </row>
    <row r="1067" spans="1:7">
      <c r="A1067" s="38"/>
      <c r="B1067" s="39"/>
      <c r="C1067" s="32"/>
      <c r="D1067" s="32"/>
      <c r="G1067" s="23"/>
    </row>
    <row r="1068" spans="1:7">
      <c r="A1068" s="38"/>
      <c r="B1068" s="39"/>
      <c r="C1068" s="32"/>
      <c r="D1068" s="32"/>
      <c r="G1068" s="23"/>
    </row>
    <row r="1069" spans="1:7">
      <c r="A1069" s="38"/>
      <c r="B1069" s="39"/>
      <c r="C1069" s="32"/>
      <c r="D1069" s="32"/>
      <c r="G1069" s="23"/>
    </row>
    <row r="1070" spans="1:7">
      <c r="A1070" s="38"/>
      <c r="B1070" s="39"/>
      <c r="C1070" s="32"/>
      <c r="D1070" s="32"/>
      <c r="G1070" s="23"/>
    </row>
    <row r="1071" spans="1:7">
      <c r="A1071" s="38"/>
      <c r="B1071" s="39"/>
      <c r="C1071" s="32"/>
      <c r="D1071" s="32"/>
      <c r="G1071" s="23"/>
    </row>
    <row r="1072" spans="1:7">
      <c r="A1072" s="38"/>
      <c r="B1072" s="39"/>
      <c r="C1072" s="32"/>
      <c r="D1072" s="32"/>
      <c r="G1072" s="23"/>
    </row>
    <row r="1073" spans="1:7">
      <c r="A1073" s="38"/>
      <c r="B1073" s="39"/>
      <c r="C1073" s="32"/>
      <c r="D1073" s="32"/>
      <c r="G1073" s="23"/>
    </row>
    <row r="1074" spans="1:7">
      <c r="A1074" s="38"/>
      <c r="B1074" s="39"/>
      <c r="C1074" s="32"/>
      <c r="D1074" s="32"/>
      <c r="G1074" s="23"/>
    </row>
    <row r="1075" spans="1:7">
      <c r="A1075" s="38"/>
      <c r="B1075" s="39"/>
      <c r="C1075" s="32"/>
      <c r="D1075" s="32"/>
      <c r="G1075" s="23"/>
    </row>
    <row r="1076" spans="1:7">
      <c r="A1076" s="38"/>
      <c r="B1076" s="39"/>
      <c r="C1076" s="32"/>
      <c r="D1076" s="32"/>
      <c r="G1076" s="23"/>
    </row>
    <row r="1077" spans="1:7">
      <c r="A1077" s="38"/>
      <c r="B1077" s="39"/>
      <c r="C1077" s="32"/>
      <c r="D1077" s="32"/>
      <c r="G1077" s="23"/>
    </row>
    <row r="1078" spans="1:7">
      <c r="A1078" s="38"/>
      <c r="B1078" s="39"/>
      <c r="C1078" s="32"/>
      <c r="D1078" s="32"/>
      <c r="G1078" s="23"/>
    </row>
    <row r="1079" spans="1:7">
      <c r="A1079" s="38"/>
      <c r="B1079" s="39"/>
      <c r="C1079" s="32"/>
      <c r="D1079" s="32"/>
      <c r="G1079" s="23"/>
    </row>
    <row r="1080" spans="1:7">
      <c r="A1080" s="38"/>
      <c r="B1080" s="39"/>
      <c r="C1080" s="32"/>
      <c r="D1080" s="32"/>
      <c r="G1080" s="23"/>
    </row>
    <row r="1081" spans="1:7">
      <c r="A1081" s="38"/>
      <c r="B1081" s="39"/>
      <c r="C1081" s="32"/>
      <c r="D1081" s="32"/>
      <c r="G1081" s="23"/>
    </row>
    <row r="1082" spans="1:7">
      <c r="A1082" s="38"/>
      <c r="B1082" s="39"/>
      <c r="C1082" s="32"/>
      <c r="D1082" s="32"/>
      <c r="G1082" s="23"/>
    </row>
    <row r="1083" spans="1:7">
      <c r="A1083" s="38"/>
      <c r="B1083" s="39"/>
      <c r="C1083" s="32"/>
      <c r="D1083" s="32"/>
      <c r="G1083" s="23"/>
    </row>
    <row r="1084" spans="1:7">
      <c r="A1084" s="38"/>
      <c r="B1084" s="39"/>
      <c r="C1084" s="32"/>
      <c r="D1084" s="32"/>
      <c r="G1084" s="23"/>
    </row>
    <row r="1085" spans="1:7">
      <c r="A1085" s="38"/>
      <c r="B1085" s="39"/>
      <c r="C1085" s="32"/>
      <c r="D1085" s="32"/>
      <c r="G1085" s="23"/>
    </row>
    <row r="1086" spans="1:7">
      <c r="A1086" s="38"/>
      <c r="B1086" s="39"/>
      <c r="C1086" s="32"/>
      <c r="D1086" s="32"/>
      <c r="G1086" s="23"/>
    </row>
    <row r="1087" spans="1:7">
      <c r="A1087" s="38"/>
      <c r="B1087" s="39"/>
      <c r="C1087" s="32"/>
      <c r="D1087" s="32"/>
      <c r="G1087" s="23"/>
    </row>
    <row r="1088" spans="1:7">
      <c r="A1088" s="38"/>
      <c r="B1088" s="39"/>
      <c r="C1088" s="32"/>
      <c r="D1088" s="32"/>
      <c r="G1088" s="23"/>
    </row>
    <row r="1089" spans="1:7">
      <c r="A1089" s="38"/>
      <c r="B1089" s="39"/>
      <c r="C1089" s="32"/>
      <c r="D1089" s="32"/>
      <c r="G1089" s="23"/>
    </row>
    <row r="1090" spans="1:7">
      <c r="A1090" s="38"/>
      <c r="B1090" s="39"/>
      <c r="C1090" s="32"/>
      <c r="D1090" s="32"/>
      <c r="G1090" s="23"/>
    </row>
    <row r="1091" spans="1:7">
      <c r="A1091" s="38"/>
      <c r="B1091" s="39"/>
      <c r="C1091" s="32"/>
      <c r="D1091" s="32"/>
      <c r="G1091" s="23"/>
    </row>
    <row r="1092" spans="1:7">
      <c r="A1092" s="38"/>
      <c r="B1092" s="39"/>
      <c r="C1092" s="32"/>
      <c r="D1092" s="32"/>
      <c r="G1092" s="23"/>
    </row>
    <row r="1093" spans="1:7">
      <c r="A1093" s="38"/>
      <c r="B1093" s="39"/>
      <c r="C1093" s="32"/>
      <c r="D1093" s="32"/>
      <c r="G1093" s="23"/>
    </row>
    <row r="1094" spans="1:7">
      <c r="A1094" s="38"/>
      <c r="B1094" s="39"/>
      <c r="C1094" s="32"/>
      <c r="D1094" s="32"/>
      <c r="G1094" s="23"/>
    </row>
    <row r="1095" spans="1:7">
      <c r="A1095" s="38"/>
      <c r="B1095" s="39"/>
      <c r="C1095" s="32"/>
      <c r="D1095" s="32"/>
      <c r="G1095" s="23"/>
    </row>
    <row r="1096" spans="1:7">
      <c r="A1096" s="38"/>
      <c r="B1096" s="39"/>
      <c r="C1096" s="32"/>
      <c r="D1096" s="32"/>
      <c r="G1096" s="23"/>
    </row>
    <row r="1097" spans="1:7">
      <c r="A1097" s="38"/>
      <c r="B1097" s="39"/>
      <c r="C1097" s="32"/>
      <c r="D1097" s="32"/>
      <c r="G1097" s="23"/>
    </row>
    <row r="1098" spans="1:7">
      <c r="A1098" s="38"/>
      <c r="B1098" s="39"/>
      <c r="C1098" s="32"/>
      <c r="D1098" s="32"/>
      <c r="G1098" s="23"/>
    </row>
    <row r="1099" spans="1:7">
      <c r="A1099" s="38"/>
      <c r="B1099" s="39"/>
      <c r="C1099" s="32"/>
      <c r="D1099" s="32"/>
      <c r="G1099" s="23"/>
    </row>
    <row r="1100" spans="1:7">
      <c r="A1100" s="38"/>
      <c r="B1100" s="39"/>
      <c r="C1100" s="32"/>
      <c r="D1100" s="32"/>
      <c r="G1100" s="23"/>
    </row>
    <row r="1101" spans="1:7">
      <c r="A1101" s="38"/>
      <c r="B1101" s="39"/>
      <c r="C1101" s="32"/>
      <c r="D1101" s="32"/>
      <c r="G1101" s="23"/>
    </row>
    <row r="1102" spans="1:7">
      <c r="A1102" s="38"/>
      <c r="B1102" s="39"/>
      <c r="C1102" s="32"/>
      <c r="D1102" s="32"/>
      <c r="G1102" s="23"/>
    </row>
    <row r="1103" spans="1:7">
      <c r="A1103" s="38"/>
      <c r="B1103" s="39"/>
      <c r="C1103" s="32"/>
      <c r="D1103" s="32"/>
      <c r="G1103" s="23"/>
    </row>
    <row r="1104" spans="1:7">
      <c r="A1104" s="38"/>
      <c r="B1104" s="39"/>
      <c r="C1104" s="32"/>
      <c r="D1104" s="32"/>
      <c r="G1104" s="23"/>
    </row>
    <row r="1105" spans="1:7">
      <c r="A1105" s="38"/>
      <c r="B1105" s="39"/>
      <c r="C1105" s="32"/>
      <c r="D1105" s="32"/>
      <c r="G1105" s="23"/>
    </row>
    <row r="1106" spans="1:7">
      <c r="A1106" s="38"/>
      <c r="B1106" s="39"/>
      <c r="C1106" s="32"/>
      <c r="D1106" s="32"/>
      <c r="G1106" s="23"/>
    </row>
    <row r="1107" spans="1:7">
      <c r="A1107" s="38"/>
      <c r="B1107" s="39"/>
      <c r="C1107" s="32"/>
      <c r="D1107" s="32"/>
      <c r="G1107" s="23"/>
    </row>
    <row r="1108" spans="1:7">
      <c r="A1108" s="38"/>
      <c r="B1108" s="39"/>
      <c r="C1108" s="32"/>
      <c r="D1108" s="32"/>
      <c r="G1108" s="23"/>
    </row>
    <row r="1109" spans="1:7">
      <c r="A1109" s="38"/>
      <c r="B1109" s="39"/>
      <c r="C1109" s="32"/>
      <c r="D1109" s="32"/>
      <c r="G1109" s="23"/>
    </row>
    <row r="1110" spans="1:7">
      <c r="A1110" s="38"/>
      <c r="B1110" s="39"/>
      <c r="C1110" s="32"/>
      <c r="D1110" s="32"/>
      <c r="G1110" s="23"/>
    </row>
    <row r="1111" spans="1:7">
      <c r="A1111" s="38"/>
      <c r="B1111" s="39"/>
      <c r="C1111" s="32"/>
      <c r="D1111" s="32"/>
      <c r="G1111" s="23"/>
    </row>
    <row r="1112" spans="1:7">
      <c r="A1112" s="38"/>
      <c r="B1112" s="39"/>
      <c r="C1112" s="32"/>
      <c r="D1112" s="32"/>
      <c r="G1112" s="23"/>
    </row>
    <row r="1113" spans="1:7">
      <c r="A1113" s="38"/>
      <c r="B1113" s="39"/>
      <c r="C1113" s="32"/>
      <c r="D1113" s="32"/>
      <c r="G1113" s="23"/>
    </row>
    <row r="1114" spans="1:7">
      <c r="A1114" s="38"/>
      <c r="B1114" s="39"/>
      <c r="C1114" s="32"/>
      <c r="D1114" s="32"/>
      <c r="G1114" s="23"/>
    </row>
    <row r="1115" spans="1:7">
      <c r="A1115" s="38"/>
      <c r="B1115" s="39"/>
      <c r="C1115" s="32"/>
      <c r="D1115" s="32"/>
      <c r="G1115" s="23"/>
    </row>
    <row r="1116" spans="1:7">
      <c r="A1116" s="38"/>
      <c r="B1116" s="39"/>
      <c r="C1116" s="32"/>
      <c r="D1116" s="32"/>
      <c r="G1116" s="23"/>
    </row>
    <row r="1117" spans="1:7">
      <c r="A1117" s="38"/>
      <c r="B1117" s="39"/>
      <c r="C1117" s="32"/>
      <c r="D1117" s="32"/>
      <c r="G1117" s="23"/>
    </row>
    <row r="1118" spans="1:7">
      <c r="A1118" s="38"/>
      <c r="B1118" s="39"/>
      <c r="C1118" s="32"/>
      <c r="D1118" s="32"/>
      <c r="G1118" s="23"/>
    </row>
    <row r="1119" spans="1:7">
      <c r="A1119" s="38"/>
      <c r="B1119" s="39"/>
      <c r="C1119" s="32"/>
      <c r="D1119" s="32"/>
      <c r="G1119" s="23"/>
    </row>
    <row r="1120" spans="1:7">
      <c r="A1120" s="38"/>
      <c r="B1120" s="39"/>
      <c r="C1120" s="32"/>
      <c r="D1120" s="32"/>
      <c r="G1120" s="23"/>
    </row>
    <row r="1121" spans="1:7">
      <c r="A1121" s="38"/>
      <c r="B1121" s="39"/>
      <c r="C1121" s="32"/>
      <c r="D1121" s="32"/>
      <c r="G1121" s="23"/>
    </row>
    <row r="1122" spans="1:7">
      <c r="A1122" s="38"/>
      <c r="B1122" s="39"/>
      <c r="C1122" s="32"/>
      <c r="D1122" s="32"/>
      <c r="G1122" s="23"/>
    </row>
    <row r="1123" spans="1:7">
      <c r="A1123" s="38"/>
      <c r="B1123" s="39"/>
      <c r="C1123" s="32"/>
      <c r="D1123" s="32"/>
      <c r="G1123" s="23"/>
    </row>
    <row r="1124" spans="1:7">
      <c r="A1124" s="38"/>
      <c r="B1124" s="39"/>
      <c r="C1124" s="32"/>
      <c r="D1124" s="32"/>
      <c r="G1124" s="23"/>
    </row>
    <row r="1125" spans="1:7">
      <c r="A1125" s="38"/>
      <c r="B1125" s="39"/>
      <c r="C1125" s="32"/>
      <c r="D1125" s="32"/>
      <c r="G1125" s="23"/>
    </row>
    <row r="1126" spans="1:7">
      <c r="A1126" s="38"/>
      <c r="B1126" s="39"/>
      <c r="C1126" s="32"/>
      <c r="D1126" s="32"/>
      <c r="G1126" s="23"/>
    </row>
    <row r="1127" spans="1:7">
      <c r="A1127" s="38"/>
      <c r="B1127" s="39"/>
      <c r="C1127" s="32"/>
      <c r="D1127" s="32"/>
      <c r="G1127" s="23"/>
    </row>
    <row r="1128" spans="1:7">
      <c r="A1128" s="38"/>
      <c r="B1128" s="39"/>
      <c r="C1128" s="32"/>
      <c r="D1128" s="32"/>
      <c r="G1128" s="23"/>
    </row>
    <row r="1129" spans="1:7">
      <c r="A1129" s="38"/>
      <c r="B1129" s="39"/>
      <c r="C1129" s="32"/>
      <c r="D1129" s="32"/>
      <c r="G1129" s="23"/>
    </row>
    <row r="1130" spans="1:7">
      <c r="A1130" s="38"/>
      <c r="B1130" s="39"/>
      <c r="C1130" s="32"/>
      <c r="D1130" s="32"/>
      <c r="G1130" s="23"/>
    </row>
    <row r="1131" spans="1:7">
      <c r="A1131" s="38"/>
      <c r="B1131" s="39"/>
      <c r="C1131" s="32"/>
      <c r="D1131" s="32"/>
      <c r="G1131" s="23"/>
    </row>
    <row r="1132" spans="1:7">
      <c r="A1132" s="38"/>
      <c r="B1132" s="39"/>
      <c r="C1132" s="32"/>
      <c r="D1132" s="32"/>
      <c r="G1132" s="23"/>
    </row>
    <row r="1133" spans="1:7">
      <c r="A1133" s="38"/>
      <c r="B1133" s="39"/>
      <c r="C1133" s="32"/>
      <c r="D1133" s="32"/>
      <c r="G1133" s="23"/>
    </row>
    <row r="1134" spans="1:7">
      <c r="A1134" s="38"/>
      <c r="B1134" s="39"/>
      <c r="C1134" s="32"/>
      <c r="D1134" s="32"/>
      <c r="G1134" s="23"/>
    </row>
    <row r="1135" spans="1:7">
      <c r="A1135" s="38"/>
      <c r="B1135" s="39"/>
      <c r="C1135" s="32"/>
      <c r="D1135" s="32"/>
      <c r="G1135" s="23"/>
    </row>
    <row r="1136" spans="1:7">
      <c r="A1136" s="38"/>
      <c r="B1136" s="39"/>
      <c r="C1136" s="32"/>
      <c r="D1136" s="32"/>
      <c r="G1136" s="23"/>
    </row>
    <row r="1137" spans="1:7">
      <c r="A1137" s="38"/>
      <c r="B1137" s="39"/>
      <c r="C1137" s="32"/>
      <c r="D1137" s="32"/>
      <c r="G1137" s="23"/>
    </row>
    <row r="1138" spans="1:7">
      <c r="A1138" s="38"/>
      <c r="B1138" s="39"/>
      <c r="C1138" s="32"/>
      <c r="D1138" s="32"/>
      <c r="G1138" s="23"/>
    </row>
    <row r="1139" spans="1:7">
      <c r="A1139" s="38"/>
      <c r="B1139" s="39"/>
      <c r="C1139" s="32"/>
      <c r="D1139" s="32"/>
      <c r="G1139" s="23"/>
    </row>
    <row r="1140" spans="1:7">
      <c r="A1140" s="38"/>
      <c r="B1140" s="39"/>
      <c r="C1140" s="32"/>
      <c r="D1140" s="32"/>
      <c r="G1140" s="23"/>
    </row>
    <row r="1141" spans="1:7">
      <c r="A1141" s="38"/>
      <c r="B1141" s="39"/>
      <c r="C1141" s="32"/>
      <c r="D1141" s="32"/>
      <c r="G1141" s="23"/>
    </row>
    <row r="1142" spans="1:7">
      <c r="A1142" s="38"/>
      <c r="B1142" s="39"/>
      <c r="C1142" s="32"/>
      <c r="D1142" s="32"/>
      <c r="G1142" s="23"/>
    </row>
    <row r="1143" spans="1:7">
      <c r="A1143" s="38"/>
      <c r="B1143" s="39"/>
      <c r="C1143" s="32"/>
      <c r="D1143" s="32"/>
      <c r="G1143" s="23"/>
    </row>
    <row r="1144" spans="1:7">
      <c r="A1144" s="38"/>
      <c r="B1144" s="39"/>
      <c r="C1144" s="32"/>
      <c r="D1144" s="32"/>
      <c r="G1144" s="23"/>
    </row>
    <row r="1145" spans="1:7">
      <c r="A1145" s="38"/>
      <c r="B1145" s="39"/>
      <c r="C1145" s="32"/>
      <c r="D1145" s="32"/>
      <c r="G1145" s="23"/>
    </row>
    <row r="1146" spans="1:7">
      <c r="A1146" s="38"/>
      <c r="B1146" s="39"/>
      <c r="C1146" s="32"/>
      <c r="D1146" s="32"/>
      <c r="G1146" s="23"/>
    </row>
    <row r="1147" spans="1:7">
      <c r="A1147" s="38"/>
      <c r="B1147" s="39"/>
      <c r="C1147" s="32"/>
      <c r="D1147" s="32"/>
      <c r="G1147" s="23"/>
    </row>
    <row r="1148" spans="1:7">
      <c r="A1148" s="38"/>
      <c r="B1148" s="39"/>
      <c r="C1148" s="32"/>
      <c r="D1148" s="32"/>
      <c r="G1148" s="23"/>
    </row>
    <row r="1149" spans="1:7">
      <c r="A1149" s="38"/>
      <c r="B1149" s="39"/>
      <c r="C1149" s="32"/>
      <c r="D1149" s="32"/>
      <c r="G1149" s="23"/>
    </row>
    <row r="1150" spans="1:7">
      <c r="A1150" s="38"/>
      <c r="B1150" s="39"/>
      <c r="C1150" s="32"/>
      <c r="D1150" s="32"/>
      <c r="G1150" s="23"/>
    </row>
    <row r="1151" spans="1:7">
      <c r="A1151" s="38"/>
      <c r="B1151" s="39"/>
      <c r="C1151" s="32"/>
      <c r="D1151" s="32"/>
      <c r="G1151" s="23"/>
    </row>
    <row r="1152" spans="1:7">
      <c r="A1152" s="38"/>
      <c r="B1152" s="39"/>
      <c r="C1152" s="32"/>
      <c r="D1152" s="32"/>
      <c r="G1152" s="23"/>
    </row>
    <row r="1153" spans="1:7">
      <c r="A1153" s="38"/>
      <c r="B1153" s="39"/>
      <c r="C1153" s="32"/>
      <c r="D1153" s="32"/>
      <c r="G1153" s="23"/>
    </row>
    <row r="1154" spans="1:7">
      <c r="A1154" s="38"/>
      <c r="B1154" s="39"/>
      <c r="C1154" s="32"/>
      <c r="D1154" s="32"/>
      <c r="G1154" s="23"/>
    </row>
    <row r="1155" spans="1:7">
      <c r="A1155" s="38"/>
      <c r="B1155" s="39"/>
      <c r="C1155" s="32"/>
      <c r="D1155" s="32"/>
      <c r="G1155" s="23"/>
    </row>
    <row r="1156" spans="1:7">
      <c r="A1156" s="38"/>
      <c r="B1156" s="39"/>
      <c r="C1156" s="32"/>
      <c r="D1156" s="32"/>
      <c r="G1156" s="23"/>
    </row>
    <row r="1157" spans="1:7">
      <c r="A1157" s="38"/>
      <c r="B1157" s="39"/>
      <c r="C1157" s="32"/>
      <c r="D1157" s="32"/>
      <c r="G1157" s="23"/>
    </row>
    <row r="1158" spans="1:7">
      <c r="A1158" s="38"/>
      <c r="B1158" s="39"/>
      <c r="C1158" s="32"/>
      <c r="D1158" s="32"/>
      <c r="G1158" s="23"/>
    </row>
    <row r="1159" spans="1:7">
      <c r="A1159" s="38"/>
      <c r="B1159" s="39"/>
      <c r="C1159" s="32"/>
      <c r="D1159" s="32"/>
      <c r="G1159" s="23"/>
    </row>
    <row r="1160" spans="1:7">
      <c r="A1160" s="38"/>
      <c r="B1160" s="39"/>
      <c r="C1160" s="32"/>
      <c r="D1160" s="32"/>
      <c r="G1160" s="23"/>
    </row>
    <row r="1161" spans="1:7">
      <c r="A1161" s="38"/>
      <c r="B1161" s="39"/>
      <c r="C1161" s="32"/>
      <c r="D1161" s="32"/>
      <c r="G1161" s="23"/>
    </row>
    <row r="1162" spans="1:7">
      <c r="A1162" s="38"/>
      <c r="B1162" s="39"/>
      <c r="C1162" s="32"/>
      <c r="D1162" s="32"/>
      <c r="G1162" s="23"/>
    </row>
    <row r="1163" spans="1:7">
      <c r="A1163" s="38"/>
      <c r="B1163" s="39"/>
      <c r="C1163" s="32"/>
      <c r="D1163" s="32"/>
      <c r="G1163" s="23"/>
    </row>
    <row r="1164" spans="1:7">
      <c r="A1164" s="38"/>
      <c r="B1164" s="39"/>
      <c r="C1164" s="32"/>
      <c r="D1164" s="32"/>
      <c r="G1164" s="23"/>
    </row>
    <row r="1165" spans="1:7">
      <c r="A1165" s="38"/>
      <c r="B1165" s="39"/>
      <c r="C1165" s="32"/>
      <c r="D1165" s="32"/>
      <c r="G1165" s="23"/>
    </row>
    <row r="1166" spans="1:7">
      <c r="A1166" s="38"/>
      <c r="B1166" s="39"/>
      <c r="C1166" s="32"/>
      <c r="D1166" s="32"/>
      <c r="G1166" s="23"/>
    </row>
    <row r="1167" spans="1:7">
      <c r="A1167" s="38"/>
      <c r="B1167" s="39"/>
      <c r="C1167" s="32"/>
      <c r="D1167" s="32"/>
      <c r="G1167" s="23"/>
    </row>
    <row r="1168" spans="1:7">
      <c r="A1168" s="38"/>
      <c r="B1168" s="39"/>
      <c r="C1168" s="32"/>
      <c r="D1168" s="32"/>
      <c r="G1168" s="23"/>
    </row>
    <row r="1169" spans="1:7">
      <c r="A1169" s="38"/>
      <c r="B1169" s="39"/>
      <c r="C1169" s="32"/>
      <c r="D1169" s="32"/>
      <c r="G1169" s="23"/>
    </row>
    <row r="1170" spans="1:7">
      <c r="A1170" s="38"/>
      <c r="B1170" s="39"/>
      <c r="C1170" s="32"/>
      <c r="D1170" s="32"/>
      <c r="G1170" s="23"/>
    </row>
    <row r="1171" spans="1:7">
      <c r="A1171" s="38"/>
      <c r="B1171" s="39"/>
      <c r="C1171" s="32"/>
      <c r="D1171" s="32"/>
      <c r="G1171" s="23"/>
    </row>
    <row r="1172" spans="1:7">
      <c r="A1172" s="38"/>
      <c r="B1172" s="39"/>
      <c r="C1172" s="32"/>
      <c r="D1172" s="32"/>
      <c r="G1172" s="23"/>
    </row>
    <row r="1173" spans="1:7">
      <c r="A1173" s="38"/>
      <c r="B1173" s="39"/>
      <c r="C1173" s="32"/>
      <c r="D1173" s="32"/>
      <c r="G1173" s="23"/>
    </row>
    <row r="1174" spans="1:7">
      <c r="A1174" s="38"/>
      <c r="B1174" s="39"/>
      <c r="C1174" s="32"/>
      <c r="D1174" s="32"/>
      <c r="G1174" s="23"/>
    </row>
    <row r="1175" spans="1:7">
      <c r="A1175" s="38"/>
      <c r="B1175" s="39"/>
      <c r="C1175" s="32"/>
      <c r="D1175" s="32"/>
      <c r="G1175" s="23"/>
    </row>
    <row r="1176" spans="1:7">
      <c r="A1176" s="38"/>
      <c r="B1176" s="39"/>
      <c r="C1176" s="32"/>
      <c r="D1176" s="32"/>
      <c r="G1176" s="23"/>
    </row>
    <row r="1177" spans="1:7">
      <c r="A1177" s="38"/>
      <c r="B1177" s="39"/>
      <c r="C1177" s="32"/>
      <c r="D1177" s="32"/>
      <c r="G1177" s="23"/>
    </row>
    <row r="1178" spans="1:7">
      <c r="A1178" s="38"/>
      <c r="B1178" s="39"/>
      <c r="C1178" s="32"/>
      <c r="D1178" s="32"/>
      <c r="G1178" s="23"/>
    </row>
    <row r="1179" spans="1:7">
      <c r="A1179" s="38"/>
      <c r="B1179" s="39"/>
      <c r="C1179" s="32"/>
      <c r="D1179" s="32"/>
      <c r="G1179" s="23"/>
    </row>
    <row r="1180" spans="1:7">
      <c r="A1180" s="38"/>
      <c r="B1180" s="39"/>
      <c r="C1180" s="32"/>
      <c r="D1180" s="32"/>
      <c r="G1180" s="23"/>
    </row>
    <row r="1181" spans="1:7">
      <c r="A1181" s="38"/>
      <c r="B1181" s="39"/>
      <c r="C1181" s="32"/>
      <c r="D1181" s="32"/>
      <c r="G1181" s="23"/>
    </row>
    <row r="1182" spans="1:7">
      <c r="A1182" s="38"/>
      <c r="B1182" s="39"/>
      <c r="C1182" s="32"/>
      <c r="D1182" s="32"/>
      <c r="G1182" s="23"/>
    </row>
    <row r="1183" spans="1:7">
      <c r="A1183" s="38"/>
      <c r="B1183" s="39"/>
      <c r="C1183" s="32"/>
      <c r="D1183" s="32"/>
      <c r="G1183" s="23"/>
    </row>
    <row r="1184" spans="1:7">
      <c r="A1184" s="38"/>
      <c r="B1184" s="39"/>
      <c r="C1184" s="32"/>
      <c r="D1184" s="32"/>
      <c r="G1184" s="23"/>
    </row>
    <row r="1185" spans="1:7">
      <c r="A1185" s="38"/>
      <c r="B1185" s="39"/>
      <c r="C1185" s="32"/>
      <c r="D1185" s="32"/>
      <c r="G1185" s="23"/>
    </row>
    <row r="1186" spans="1:7">
      <c r="A1186" s="38"/>
      <c r="B1186" s="39"/>
      <c r="C1186" s="32"/>
      <c r="D1186" s="32"/>
      <c r="G1186" s="23"/>
    </row>
    <row r="1187" spans="1:7">
      <c r="A1187" s="38"/>
      <c r="B1187" s="39"/>
      <c r="C1187" s="32"/>
      <c r="D1187" s="32"/>
      <c r="G1187" s="23"/>
    </row>
    <row r="1188" spans="1:7">
      <c r="A1188" s="38"/>
      <c r="B1188" s="39"/>
      <c r="C1188" s="32"/>
      <c r="D1188" s="32"/>
      <c r="G1188" s="23"/>
    </row>
    <row r="1189" spans="1:7">
      <c r="A1189" s="38"/>
      <c r="B1189" s="39"/>
      <c r="C1189" s="32"/>
      <c r="D1189" s="32"/>
      <c r="G1189" s="23"/>
    </row>
    <row r="1190" spans="1:7">
      <c r="A1190" s="38"/>
      <c r="B1190" s="39"/>
      <c r="C1190" s="32"/>
      <c r="D1190" s="32"/>
      <c r="G1190" s="23"/>
    </row>
    <row r="1191" spans="1:7">
      <c r="A1191" s="38"/>
      <c r="B1191" s="39"/>
      <c r="C1191" s="32"/>
      <c r="D1191" s="32"/>
      <c r="G1191" s="23"/>
    </row>
    <row r="1192" spans="1:7">
      <c r="A1192" s="38"/>
      <c r="B1192" s="39"/>
      <c r="C1192" s="32"/>
      <c r="D1192" s="32"/>
      <c r="G1192" s="23"/>
    </row>
    <row r="1193" spans="1:7">
      <c r="A1193" s="38"/>
      <c r="B1193" s="39"/>
      <c r="C1193" s="32"/>
      <c r="D1193" s="32"/>
      <c r="G1193" s="23"/>
    </row>
    <row r="1194" spans="1:7">
      <c r="A1194" s="38"/>
      <c r="B1194" s="39"/>
      <c r="C1194" s="32"/>
      <c r="D1194" s="32"/>
      <c r="G1194" s="23"/>
    </row>
    <row r="1195" spans="1:7">
      <c r="A1195" s="38"/>
      <c r="B1195" s="39"/>
      <c r="C1195" s="32"/>
      <c r="D1195" s="32"/>
      <c r="G1195" s="23"/>
    </row>
    <row r="1196" spans="1:7">
      <c r="A1196" s="38"/>
      <c r="B1196" s="39"/>
      <c r="C1196" s="32"/>
      <c r="D1196" s="32"/>
      <c r="G1196" s="23"/>
    </row>
    <row r="1197" spans="1:7">
      <c r="A1197" s="38"/>
      <c r="B1197" s="39"/>
      <c r="C1197" s="32"/>
      <c r="D1197" s="32"/>
      <c r="G1197" s="23"/>
    </row>
    <row r="1198" spans="1:7">
      <c r="A1198" s="38"/>
      <c r="B1198" s="39"/>
      <c r="C1198" s="32"/>
      <c r="D1198" s="32"/>
      <c r="G1198" s="23"/>
    </row>
    <row r="1199" spans="1:7">
      <c r="A1199" s="38"/>
      <c r="B1199" s="39"/>
      <c r="C1199" s="32"/>
      <c r="D1199" s="32"/>
      <c r="G1199" s="23"/>
    </row>
    <row r="1200" spans="1:7">
      <c r="A1200" s="38"/>
      <c r="B1200" s="39"/>
      <c r="C1200" s="32"/>
      <c r="D1200" s="32"/>
      <c r="G1200" s="23"/>
    </row>
    <row r="1201" spans="1:7">
      <c r="A1201" s="38"/>
      <c r="B1201" s="39"/>
      <c r="C1201" s="32"/>
      <c r="D1201" s="32"/>
      <c r="G1201" s="23"/>
    </row>
    <row r="1202" spans="1:7">
      <c r="A1202" s="38"/>
      <c r="B1202" s="39"/>
      <c r="C1202" s="32"/>
      <c r="D1202" s="32"/>
      <c r="G1202" s="23"/>
    </row>
    <row r="1203" spans="1:7">
      <c r="A1203" s="38"/>
      <c r="B1203" s="39"/>
      <c r="C1203" s="32"/>
      <c r="D1203" s="32"/>
      <c r="G1203" s="23"/>
    </row>
    <row r="1204" spans="1:7">
      <c r="A1204" s="38"/>
      <c r="B1204" s="39"/>
      <c r="C1204" s="32"/>
      <c r="D1204" s="32"/>
      <c r="G1204" s="23"/>
    </row>
    <row r="1205" spans="1:7">
      <c r="A1205" s="38"/>
      <c r="B1205" s="39"/>
      <c r="C1205" s="32"/>
      <c r="D1205" s="32"/>
      <c r="G1205" s="23"/>
    </row>
    <row r="1206" spans="1:7">
      <c r="A1206" s="38"/>
      <c r="B1206" s="39"/>
      <c r="C1206" s="32"/>
      <c r="D1206" s="32"/>
      <c r="G1206" s="23"/>
    </row>
    <row r="1207" spans="1:7">
      <c r="A1207" s="38"/>
      <c r="B1207" s="39"/>
      <c r="C1207" s="32"/>
      <c r="D1207" s="32"/>
      <c r="G1207" s="23"/>
    </row>
    <row r="1208" spans="1:7">
      <c r="A1208" s="38"/>
      <c r="B1208" s="39"/>
      <c r="C1208" s="32"/>
      <c r="D1208" s="32"/>
      <c r="G1208" s="23"/>
    </row>
    <row r="1209" spans="1:7">
      <c r="A1209" s="38"/>
      <c r="B1209" s="39"/>
      <c r="C1209" s="32"/>
      <c r="D1209" s="32"/>
      <c r="G1209" s="23"/>
    </row>
    <row r="1210" spans="1:7">
      <c r="A1210" s="38"/>
      <c r="B1210" s="39"/>
      <c r="C1210" s="32"/>
      <c r="D1210" s="32"/>
      <c r="G1210" s="23"/>
    </row>
    <row r="1211" spans="1:7">
      <c r="A1211" s="38"/>
      <c r="B1211" s="39"/>
      <c r="C1211" s="32"/>
      <c r="D1211" s="32"/>
      <c r="G1211" s="23"/>
    </row>
    <row r="1212" spans="1:7">
      <c r="A1212" s="38"/>
      <c r="B1212" s="39"/>
      <c r="C1212" s="32"/>
      <c r="D1212" s="32"/>
      <c r="G1212" s="23"/>
    </row>
    <row r="1213" spans="1:7">
      <c r="A1213" s="38"/>
      <c r="B1213" s="39"/>
      <c r="C1213" s="32"/>
      <c r="D1213" s="32"/>
      <c r="G1213" s="23"/>
    </row>
    <row r="1214" spans="1:7">
      <c r="A1214" s="38"/>
      <c r="B1214" s="39"/>
      <c r="C1214" s="32"/>
      <c r="D1214" s="32"/>
      <c r="G1214" s="23"/>
    </row>
    <row r="1215" spans="1:7">
      <c r="A1215" s="38"/>
      <c r="B1215" s="39"/>
      <c r="C1215" s="32"/>
      <c r="D1215" s="32"/>
      <c r="G1215" s="23"/>
    </row>
    <row r="1216" spans="1:7">
      <c r="A1216" s="38"/>
      <c r="B1216" s="39"/>
      <c r="C1216" s="32"/>
      <c r="D1216" s="32"/>
      <c r="G1216" s="23"/>
    </row>
    <row r="1217" spans="1:7">
      <c r="A1217" s="38"/>
      <c r="B1217" s="39"/>
      <c r="C1217" s="32"/>
      <c r="D1217" s="32"/>
      <c r="G1217" s="23"/>
    </row>
    <row r="1218" spans="1:7">
      <c r="A1218" s="38"/>
      <c r="B1218" s="39"/>
      <c r="C1218" s="32"/>
      <c r="D1218" s="32"/>
      <c r="G1218" s="23"/>
    </row>
    <row r="1219" spans="1:7">
      <c r="A1219" s="38"/>
      <c r="B1219" s="39"/>
      <c r="C1219" s="32"/>
      <c r="D1219" s="32"/>
      <c r="G1219" s="23"/>
    </row>
    <row r="1220" spans="1:7">
      <c r="A1220" s="38"/>
      <c r="B1220" s="39"/>
      <c r="C1220" s="32"/>
      <c r="D1220" s="32"/>
      <c r="G1220" s="23"/>
    </row>
    <row r="1221" spans="1:7">
      <c r="A1221" s="38"/>
      <c r="B1221" s="39"/>
      <c r="C1221" s="32"/>
      <c r="D1221" s="32"/>
      <c r="G1221" s="23"/>
    </row>
    <row r="1222" spans="1:7">
      <c r="A1222" s="38"/>
      <c r="B1222" s="39"/>
      <c r="C1222" s="32"/>
      <c r="D1222" s="32"/>
      <c r="G1222" s="23"/>
    </row>
    <row r="1223" spans="1:7">
      <c r="A1223" s="38"/>
      <c r="B1223" s="39"/>
      <c r="C1223" s="32"/>
      <c r="D1223" s="32"/>
      <c r="G1223" s="23"/>
    </row>
    <row r="1224" spans="1:7">
      <c r="A1224" s="38"/>
      <c r="B1224" s="39"/>
      <c r="C1224" s="32"/>
      <c r="D1224" s="32"/>
      <c r="G1224" s="23"/>
    </row>
    <row r="1225" spans="1:7">
      <c r="A1225" s="38"/>
      <c r="B1225" s="39"/>
      <c r="C1225" s="32"/>
      <c r="D1225" s="32"/>
      <c r="G1225" s="23"/>
    </row>
    <row r="1226" spans="1:7">
      <c r="A1226" s="38"/>
      <c r="B1226" s="39"/>
      <c r="C1226" s="32"/>
      <c r="D1226" s="32"/>
      <c r="G1226" s="23"/>
    </row>
    <row r="1227" spans="1:7">
      <c r="A1227" s="38"/>
      <c r="B1227" s="39"/>
      <c r="C1227" s="32"/>
      <c r="D1227" s="32"/>
      <c r="G1227" s="23"/>
    </row>
    <row r="1228" spans="1:7">
      <c r="A1228" s="38"/>
      <c r="B1228" s="39"/>
      <c r="C1228" s="32"/>
      <c r="D1228" s="32"/>
      <c r="G1228" s="23"/>
    </row>
    <row r="1229" spans="1:7">
      <c r="A1229" s="38"/>
      <c r="B1229" s="39"/>
      <c r="C1229" s="32"/>
      <c r="D1229" s="32"/>
      <c r="G1229" s="23"/>
    </row>
    <row r="1230" spans="1:7">
      <c r="A1230" s="38"/>
      <c r="B1230" s="39"/>
      <c r="C1230" s="32"/>
      <c r="D1230" s="32"/>
      <c r="G1230" s="23"/>
    </row>
    <row r="1231" spans="1:7">
      <c r="A1231" s="38"/>
      <c r="B1231" s="39"/>
      <c r="C1231" s="32"/>
      <c r="D1231" s="32"/>
      <c r="G1231" s="23"/>
    </row>
    <row r="1232" spans="1:7">
      <c r="A1232" s="38"/>
      <c r="B1232" s="39"/>
      <c r="C1232" s="32"/>
      <c r="D1232" s="32"/>
      <c r="G1232" s="23"/>
    </row>
    <row r="1233" spans="1:7">
      <c r="A1233" s="38"/>
      <c r="B1233" s="39"/>
      <c r="C1233" s="32"/>
      <c r="D1233" s="32"/>
      <c r="G1233" s="23"/>
    </row>
    <row r="1234" spans="1:7">
      <c r="A1234" s="38"/>
      <c r="B1234" s="39"/>
      <c r="C1234" s="32"/>
      <c r="D1234" s="32"/>
      <c r="G1234" s="23"/>
    </row>
    <row r="1235" spans="1:7">
      <c r="A1235" s="38"/>
      <c r="B1235" s="39"/>
      <c r="C1235" s="32"/>
      <c r="D1235" s="32"/>
      <c r="G1235" s="23"/>
    </row>
    <row r="1236" spans="1:7">
      <c r="A1236" s="38"/>
      <c r="B1236" s="39"/>
      <c r="C1236" s="32"/>
      <c r="D1236" s="32"/>
      <c r="G1236" s="23"/>
    </row>
    <row r="1237" spans="1:7">
      <c r="A1237" s="38"/>
      <c r="B1237" s="39"/>
      <c r="C1237" s="32"/>
      <c r="D1237" s="32"/>
      <c r="G1237" s="23"/>
    </row>
    <row r="1238" spans="1:7">
      <c r="A1238" s="38"/>
      <c r="B1238" s="39"/>
      <c r="C1238" s="32"/>
      <c r="D1238" s="32"/>
      <c r="G1238" s="23"/>
    </row>
    <row r="1239" spans="1:7">
      <c r="A1239" s="38"/>
      <c r="B1239" s="39"/>
      <c r="C1239" s="32"/>
      <c r="D1239" s="32"/>
      <c r="G1239" s="23"/>
    </row>
    <row r="1240" spans="1:7">
      <c r="A1240" s="38"/>
      <c r="B1240" s="39"/>
      <c r="C1240" s="32"/>
      <c r="D1240" s="32"/>
      <c r="G1240" s="23"/>
    </row>
    <row r="1241" spans="1:7">
      <c r="A1241" s="38"/>
      <c r="B1241" s="39"/>
      <c r="C1241" s="32"/>
      <c r="D1241" s="32"/>
      <c r="G1241" s="23"/>
    </row>
    <row r="1242" spans="1:7">
      <c r="A1242" s="38"/>
      <c r="B1242" s="39"/>
      <c r="C1242" s="32"/>
      <c r="D1242" s="32"/>
      <c r="G1242" s="23"/>
    </row>
    <row r="1243" spans="1:7">
      <c r="A1243" s="38"/>
      <c r="B1243" s="39"/>
      <c r="C1243" s="32"/>
      <c r="D1243" s="32"/>
      <c r="G1243" s="23"/>
    </row>
    <row r="1244" spans="1:7">
      <c r="A1244" s="38"/>
      <c r="B1244" s="39"/>
      <c r="C1244" s="32"/>
      <c r="D1244" s="32"/>
      <c r="G1244" s="23"/>
    </row>
    <row r="1245" spans="1:7">
      <c r="A1245" s="38"/>
      <c r="B1245" s="39"/>
      <c r="C1245" s="32"/>
      <c r="D1245" s="32"/>
      <c r="G1245" s="23"/>
    </row>
    <row r="1246" spans="1:7">
      <c r="A1246" s="38"/>
      <c r="B1246" s="39"/>
      <c r="C1246" s="32"/>
      <c r="D1246" s="32"/>
      <c r="G1246" s="23"/>
    </row>
    <row r="1247" spans="1:7">
      <c r="A1247" s="38"/>
      <c r="B1247" s="39"/>
      <c r="C1247" s="32"/>
      <c r="D1247" s="32"/>
      <c r="G1247" s="23"/>
    </row>
    <row r="1248" spans="1:7">
      <c r="A1248" s="38"/>
      <c r="B1248" s="39"/>
      <c r="C1248" s="32"/>
      <c r="D1248" s="32"/>
      <c r="G1248" s="23"/>
    </row>
    <row r="1249" spans="1:7">
      <c r="A1249" s="38"/>
      <c r="B1249" s="39"/>
      <c r="C1249" s="32"/>
      <c r="D1249" s="32"/>
      <c r="G1249" s="23"/>
    </row>
    <row r="1250" spans="1:7">
      <c r="A1250" s="38"/>
      <c r="B1250" s="39"/>
      <c r="C1250" s="32"/>
      <c r="D1250" s="32"/>
      <c r="G1250" s="23"/>
    </row>
    <row r="1251" spans="1:7">
      <c r="A1251" s="38"/>
      <c r="B1251" s="39"/>
      <c r="C1251" s="32"/>
      <c r="D1251" s="32"/>
      <c r="G1251" s="23"/>
    </row>
    <row r="1252" spans="1:7">
      <c r="A1252" s="38"/>
      <c r="B1252" s="39"/>
      <c r="C1252" s="32"/>
      <c r="D1252" s="32"/>
      <c r="G1252" s="23"/>
    </row>
    <row r="1253" spans="1:7">
      <c r="A1253" s="38"/>
      <c r="B1253" s="39"/>
      <c r="C1253" s="32"/>
      <c r="D1253" s="32"/>
      <c r="G1253" s="23"/>
    </row>
    <row r="1254" spans="1:7">
      <c r="A1254" s="38"/>
      <c r="B1254" s="39"/>
      <c r="C1254" s="32"/>
      <c r="D1254" s="32"/>
      <c r="G1254" s="23"/>
    </row>
    <row r="1255" spans="1:7">
      <c r="A1255" s="38"/>
      <c r="B1255" s="39"/>
      <c r="C1255" s="32"/>
      <c r="D1255" s="32"/>
      <c r="G1255" s="23"/>
    </row>
    <row r="1256" spans="1:7">
      <c r="A1256" s="38"/>
      <c r="B1256" s="39"/>
      <c r="C1256" s="32"/>
      <c r="D1256" s="32"/>
      <c r="G1256" s="23"/>
    </row>
    <row r="1257" spans="1:7">
      <c r="A1257" s="38"/>
      <c r="B1257" s="39"/>
      <c r="C1257" s="32"/>
      <c r="D1257" s="32"/>
      <c r="G1257" s="23"/>
    </row>
    <row r="1258" spans="1:7">
      <c r="A1258" s="38"/>
      <c r="B1258" s="39"/>
      <c r="C1258" s="32"/>
      <c r="D1258" s="32"/>
      <c r="G1258" s="23"/>
    </row>
    <row r="1259" spans="1:7">
      <c r="A1259" s="38"/>
      <c r="B1259" s="39"/>
      <c r="C1259" s="32"/>
      <c r="D1259" s="32"/>
      <c r="G1259" s="23"/>
    </row>
    <row r="1260" spans="1:7">
      <c r="A1260" s="38"/>
      <c r="B1260" s="39"/>
      <c r="C1260" s="32"/>
      <c r="D1260" s="32"/>
      <c r="G1260" s="23"/>
    </row>
    <row r="1261" spans="1:7">
      <c r="A1261" s="38"/>
      <c r="B1261" s="39"/>
      <c r="C1261" s="32"/>
      <c r="D1261" s="32"/>
      <c r="G1261" s="23"/>
    </row>
    <row r="1262" spans="1:7">
      <c r="A1262" s="38"/>
      <c r="B1262" s="39"/>
      <c r="C1262" s="32"/>
      <c r="D1262" s="32"/>
      <c r="G1262" s="23"/>
    </row>
    <row r="1263" spans="1:7">
      <c r="A1263" s="38"/>
      <c r="B1263" s="39"/>
      <c r="C1263" s="32"/>
      <c r="D1263" s="32"/>
      <c r="G1263" s="23"/>
    </row>
    <row r="1264" spans="1:7">
      <c r="A1264" s="38"/>
      <c r="B1264" s="39"/>
      <c r="C1264" s="32"/>
      <c r="D1264" s="32"/>
      <c r="G1264" s="23"/>
    </row>
    <row r="1265" spans="1:7">
      <c r="A1265" s="38"/>
      <c r="B1265" s="39"/>
      <c r="C1265" s="32"/>
      <c r="D1265" s="32"/>
      <c r="G1265" s="23"/>
    </row>
    <row r="1266" spans="1:7">
      <c r="A1266" s="38"/>
      <c r="B1266" s="39"/>
      <c r="C1266" s="32"/>
      <c r="D1266" s="32"/>
      <c r="G1266" s="23"/>
    </row>
    <row r="1267" spans="1:7">
      <c r="A1267" s="38"/>
      <c r="B1267" s="39"/>
      <c r="C1267" s="32"/>
      <c r="D1267" s="32"/>
      <c r="G1267" s="23"/>
    </row>
    <row r="1268" spans="1:7">
      <c r="A1268" s="38"/>
      <c r="B1268" s="39"/>
      <c r="C1268" s="32"/>
      <c r="D1268" s="32"/>
      <c r="G1268" s="23"/>
    </row>
    <row r="1269" spans="1:7">
      <c r="A1269" s="38"/>
      <c r="B1269" s="39"/>
      <c r="C1269" s="32"/>
      <c r="D1269" s="32"/>
      <c r="G1269" s="23"/>
    </row>
    <row r="1270" spans="1:7">
      <c r="A1270" s="38"/>
      <c r="B1270" s="39"/>
      <c r="C1270" s="32"/>
      <c r="D1270" s="32"/>
      <c r="G1270" s="23"/>
    </row>
    <row r="1271" spans="1:7">
      <c r="A1271" s="38"/>
      <c r="B1271" s="39"/>
      <c r="C1271" s="32"/>
      <c r="D1271" s="32"/>
      <c r="G1271" s="23"/>
    </row>
    <row r="1272" spans="1:7">
      <c r="A1272" s="38"/>
      <c r="B1272" s="39"/>
      <c r="C1272" s="32"/>
      <c r="D1272" s="32"/>
      <c r="G1272" s="23"/>
    </row>
    <row r="1273" spans="1:7">
      <c r="A1273" s="38"/>
      <c r="B1273" s="39"/>
      <c r="C1273" s="32"/>
      <c r="D1273" s="32"/>
      <c r="G1273" s="23"/>
    </row>
    <row r="1274" spans="1:7">
      <c r="A1274" s="38"/>
      <c r="B1274" s="39"/>
      <c r="C1274" s="32"/>
      <c r="D1274" s="32"/>
      <c r="G1274" s="23"/>
    </row>
    <row r="1275" spans="1:7">
      <c r="A1275" s="38"/>
      <c r="B1275" s="39"/>
      <c r="C1275" s="32"/>
      <c r="D1275" s="32"/>
      <c r="G1275" s="23"/>
    </row>
    <row r="1276" spans="1:7">
      <c r="A1276" s="38"/>
      <c r="B1276" s="39"/>
      <c r="C1276" s="32"/>
      <c r="D1276" s="32"/>
      <c r="G1276" s="23"/>
    </row>
    <row r="1277" spans="1:7">
      <c r="A1277" s="38"/>
      <c r="B1277" s="39"/>
      <c r="C1277" s="32"/>
      <c r="D1277" s="32"/>
      <c r="G1277" s="23"/>
    </row>
    <row r="1278" spans="1:7">
      <c r="A1278" s="38"/>
      <c r="B1278" s="39"/>
      <c r="C1278" s="32"/>
      <c r="D1278" s="32"/>
      <c r="G1278" s="23"/>
    </row>
    <row r="1279" spans="1:7">
      <c r="A1279" s="38"/>
      <c r="B1279" s="39"/>
      <c r="C1279" s="32"/>
      <c r="D1279" s="32"/>
      <c r="G1279" s="23"/>
    </row>
    <row r="1280" spans="1:7">
      <c r="A1280" s="38"/>
      <c r="B1280" s="39"/>
      <c r="C1280" s="32"/>
      <c r="D1280" s="32"/>
      <c r="G1280" s="23"/>
    </row>
    <row r="1281" spans="1:7">
      <c r="A1281" s="38"/>
      <c r="B1281" s="39"/>
      <c r="C1281" s="32"/>
      <c r="D1281" s="32"/>
      <c r="G1281" s="23"/>
    </row>
    <row r="1282" spans="1:7">
      <c r="A1282" s="38"/>
      <c r="B1282" s="39"/>
      <c r="C1282" s="32"/>
      <c r="D1282" s="32"/>
      <c r="G1282" s="23"/>
    </row>
    <row r="1283" spans="1:7">
      <c r="A1283" s="38"/>
      <c r="B1283" s="39"/>
      <c r="C1283" s="32"/>
      <c r="D1283" s="32"/>
      <c r="G1283" s="23"/>
    </row>
    <row r="1284" spans="1:7">
      <c r="A1284" s="38"/>
      <c r="B1284" s="39"/>
      <c r="C1284" s="32"/>
      <c r="D1284" s="32"/>
      <c r="G1284" s="23"/>
    </row>
    <row r="1285" spans="1:7">
      <c r="A1285" s="38"/>
      <c r="B1285" s="39"/>
      <c r="C1285" s="32"/>
      <c r="D1285" s="32"/>
      <c r="G1285" s="23"/>
    </row>
    <row r="1286" spans="1:7">
      <c r="A1286" s="38"/>
      <c r="B1286" s="39"/>
      <c r="C1286" s="32"/>
      <c r="D1286" s="32"/>
      <c r="G1286" s="23"/>
    </row>
    <row r="1287" spans="1:7">
      <c r="A1287" s="38"/>
      <c r="B1287" s="39"/>
      <c r="C1287" s="32"/>
      <c r="D1287" s="32"/>
      <c r="G1287" s="23"/>
    </row>
    <row r="1288" spans="1:7">
      <c r="A1288" s="38"/>
      <c r="B1288" s="39"/>
      <c r="C1288" s="32"/>
      <c r="D1288" s="32"/>
      <c r="G1288" s="23"/>
    </row>
    <row r="1289" spans="1:7">
      <c r="A1289" s="38"/>
      <c r="B1289" s="39"/>
      <c r="C1289" s="32"/>
      <c r="D1289" s="32"/>
      <c r="G1289" s="23"/>
    </row>
    <row r="1290" spans="1:7">
      <c r="A1290" s="38"/>
      <c r="B1290" s="39"/>
      <c r="C1290" s="32"/>
      <c r="D1290" s="32"/>
      <c r="G1290" s="23"/>
    </row>
    <row r="1291" spans="1:7">
      <c r="A1291" s="38"/>
      <c r="B1291" s="39"/>
      <c r="C1291" s="32"/>
      <c r="D1291" s="32"/>
      <c r="G1291" s="23"/>
    </row>
    <row r="1292" spans="1:7">
      <c r="A1292" s="38"/>
      <c r="B1292" s="39"/>
      <c r="C1292" s="32"/>
      <c r="D1292" s="32"/>
      <c r="G1292" s="23"/>
    </row>
    <row r="1293" spans="1:7">
      <c r="A1293" s="38"/>
      <c r="B1293" s="39"/>
      <c r="C1293" s="32"/>
      <c r="D1293" s="32"/>
      <c r="G1293" s="23"/>
    </row>
    <row r="1294" spans="1:7">
      <c r="A1294" s="38"/>
      <c r="B1294" s="39"/>
      <c r="C1294" s="32"/>
      <c r="D1294" s="32"/>
      <c r="G1294" s="23"/>
    </row>
    <row r="1295" spans="1:7">
      <c r="A1295" s="38"/>
      <c r="B1295" s="39"/>
      <c r="C1295" s="32"/>
      <c r="D1295" s="32"/>
      <c r="G1295" s="23"/>
    </row>
    <row r="1296" spans="1:7">
      <c r="A1296" s="38"/>
      <c r="B1296" s="39"/>
      <c r="C1296" s="32"/>
      <c r="D1296" s="32"/>
      <c r="G1296" s="23"/>
    </row>
    <row r="1297" spans="1:7">
      <c r="A1297" s="38"/>
      <c r="B1297" s="39"/>
      <c r="C1297" s="32"/>
      <c r="D1297" s="32"/>
      <c r="G1297" s="23"/>
    </row>
    <row r="1298" spans="1:7">
      <c r="A1298" s="38"/>
      <c r="B1298" s="39"/>
      <c r="C1298" s="32"/>
      <c r="D1298" s="32"/>
      <c r="G1298" s="23"/>
    </row>
    <row r="1299" spans="1:7">
      <c r="A1299" s="38"/>
      <c r="B1299" s="39"/>
      <c r="C1299" s="32"/>
      <c r="D1299" s="32"/>
      <c r="G1299" s="23"/>
    </row>
    <row r="1300" spans="1:7">
      <c r="A1300" s="38"/>
      <c r="B1300" s="39"/>
      <c r="C1300" s="32"/>
      <c r="D1300" s="32"/>
      <c r="G1300" s="23"/>
    </row>
    <row r="1301" spans="1:7">
      <c r="A1301" s="38"/>
      <c r="B1301" s="39"/>
      <c r="C1301" s="32"/>
      <c r="D1301" s="32"/>
      <c r="G1301" s="23"/>
    </row>
    <row r="1302" spans="1:7">
      <c r="A1302" s="38"/>
      <c r="B1302" s="39"/>
      <c r="C1302" s="32"/>
      <c r="D1302" s="32"/>
      <c r="G1302" s="23"/>
    </row>
    <row r="1303" spans="1:7">
      <c r="A1303" s="38"/>
      <c r="B1303" s="39"/>
      <c r="C1303" s="32"/>
      <c r="D1303" s="32"/>
      <c r="G1303" s="23"/>
    </row>
    <row r="1304" spans="1:7">
      <c r="A1304" s="38"/>
      <c r="B1304" s="39"/>
      <c r="C1304" s="32"/>
      <c r="D1304" s="32"/>
      <c r="G1304" s="23"/>
    </row>
    <row r="1305" spans="1:7">
      <c r="A1305" s="38"/>
      <c r="B1305" s="39"/>
      <c r="C1305" s="32"/>
      <c r="D1305" s="32"/>
      <c r="G1305" s="23"/>
    </row>
    <row r="1306" spans="1:7">
      <c r="A1306" s="38"/>
      <c r="B1306" s="39"/>
      <c r="C1306" s="32"/>
      <c r="D1306" s="32"/>
      <c r="G1306" s="23"/>
    </row>
    <row r="1307" spans="1:7">
      <c r="A1307" s="38"/>
      <c r="B1307" s="39"/>
      <c r="C1307" s="32"/>
      <c r="D1307" s="32"/>
      <c r="G1307" s="23"/>
    </row>
    <row r="1308" spans="1:7">
      <c r="A1308" s="38"/>
      <c r="B1308" s="39"/>
      <c r="C1308" s="32"/>
      <c r="D1308" s="32"/>
      <c r="G1308" s="23"/>
    </row>
    <row r="1309" spans="1:7">
      <c r="A1309" s="38"/>
      <c r="B1309" s="39"/>
      <c r="C1309" s="32"/>
      <c r="D1309" s="32"/>
      <c r="G1309" s="23"/>
    </row>
    <row r="1310" spans="1:7">
      <c r="A1310" s="38"/>
      <c r="B1310" s="39"/>
      <c r="C1310" s="32"/>
      <c r="D1310" s="32"/>
      <c r="G1310" s="23"/>
    </row>
    <row r="1311" spans="1:7">
      <c r="A1311" s="38"/>
      <c r="B1311" s="39"/>
      <c r="C1311" s="32"/>
      <c r="D1311" s="32"/>
      <c r="G1311" s="23"/>
    </row>
    <row r="1312" spans="1:7">
      <c r="A1312" s="38"/>
      <c r="B1312" s="39"/>
      <c r="C1312" s="32"/>
      <c r="D1312" s="32"/>
      <c r="G1312" s="23"/>
    </row>
    <row r="1313" spans="1:7">
      <c r="A1313" s="38"/>
      <c r="B1313" s="39"/>
      <c r="C1313" s="32"/>
      <c r="D1313" s="32"/>
      <c r="G1313" s="23"/>
    </row>
    <row r="1314" spans="1:7">
      <c r="A1314" s="38"/>
      <c r="B1314" s="39"/>
      <c r="C1314" s="32"/>
      <c r="D1314" s="32"/>
      <c r="G1314" s="23"/>
    </row>
    <row r="1315" spans="1:7">
      <c r="A1315" s="38"/>
      <c r="B1315" s="39"/>
      <c r="C1315" s="32"/>
      <c r="D1315" s="32"/>
      <c r="G1315" s="23"/>
    </row>
    <row r="1316" spans="1:7">
      <c r="A1316" s="38"/>
      <c r="B1316" s="39"/>
      <c r="C1316" s="32"/>
      <c r="D1316" s="32"/>
      <c r="G1316" s="23"/>
    </row>
    <row r="1317" spans="1:7">
      <c r="A1317" s="38"/>
      <c r="B1317" s="39"/>
      <c r="C1317" s="32"/>
      <c r="D1317" s="32"/>
      <c r="G1317" s="23"/>
    </row>
    <row r="1318" spans="1:7">
      <c r="A1318" s="38"/>
      <c r="B1318" s="39"/>
      <c r="C1318" s="32"/>
      <c r="D1318" s="32"/>
      <c r="G1318" s="23"/>
    </row>
    <row r="1319" spans="1:7">
      <c r="A1319" s="38"/>
      <c r="B1319" s="39"/>
      <c r="C1319" s="32"/>
      <c r="D1319" s="32"/>
      <c r="G1319" s="23"/>
    </row>
    <row r="1320" spans="1:7">
      <c r="A1320" s="38"/>
      <c r="B1320" s="39"/>
      <c r="C1320" s="32"/>
      <c r="D1320" s="32"/>
      <c r="G1320" s="23"/>
    </row>
    <row r="1321" spans="1:7">
      <c r="A1321" s="38"/>
      <c r="B1321" s="39"/>
      <c r="C1321" s="32"/>
      <c r="D1321" s="32"/>
      <c r="G1321" s="23"/>
    </row>
    <row r="1322" spans="1:7">
      <c r="A1322" s="38"/>
      <c r="B1322" s="39"/>
      <c r="C1322" s="32"/>
      <c r="D1322" s="32"/>
      <c r="G1322" s="23"/>
    </row>
    <row r="1323" spans="1:7">
      <c r="A1323" s="38"/>
      <c r="B1323" s="39"/>
      <c r="C1323" s="32"/>
      <c r="D1323" s="32"/>
      <c r="G1323" s="23"/>
    </row>
    <row r="1324" spans="1:7">
      <c r="A1324" s="38"/>
      <c r="B1324" s="39"/>
      <c r="C1324" s="32"/>
      <c r="D1324" s="32"/>
      <c r="G1324" s="23"/>
    </row>
    <row r="1325" spans="1:7">
      <c r="A1325" s="38"/>
      <c r="B1325" s="39"/>
      <c r="C1325" s="32"/>
      <c r="D1325" s="32"/>
      <c r="G1325" s="23"/>
    </row>
    <row r="1326" spans="1:7">
      <c r="A1326" s="38"/>
      <c r="B1326" s="39"/>
      <c r="C1326" s="32"/>
      <c r="D1326" s="32"/>
      <c r="G1326" s="23"/>
    </row>
    <row r="1327" spans="1:7">
      <c r="A1327" s="38"/>
      <c r="B1327" s="39"/>
      <c r="C1327" s="32"/>
      <c r="D1327" s="32"/>
      <c r="G1327" s="23"/>
    </row>
    <row r="1328" spans="1:7">
      <c r="A1328" s="38"/>
      <c r="B1328" s="39"/>
      <c r="C1328" s="32"/>
      <c r="D1328" s="32"/>
      <c r="G1328" s="23"/>
    </row>
    <row r="1329" spans="1:7">
      <c r="A1329" s="38"/>
      <c r="B1329" s="39"/>
      <c r="C1329" s="32"/>
      <c r="D1329" s="32"/>
      <c r="G1329" s="23"/>
    </row>
    <row r="1330" spans="1:7">
      <c r="A1330" s="38"/>
      <c r="B1330" s="39"/>
      <c r="C1330" s="32"/>
      <c r="D1330" s="32"/>
      <c r="G1330" s="23"/>
    </row>
    <row r="1331" spans="1:7">
      <c r="A1331" s="38"/>
      <c r="B1331" s="39"/>
      <c r="C1331" s="32"/>
      <c r="D1331" s="32"/>
      <c r="G1331" s="23"/>
    </row>
    <row r="1332" spans="1:7">
      <c r="A1332" s="38"/>
      <c r="B1332" s="39"/>
      <c r="C1332" s="32"/>
      <c r="D1332" s="32"/>
      <c r="G1332" s="23"/>
    </row>
    <row r="1333" spans="1:7">
      <c r="A1333" s="38"/>
      <c r="B1333" s="39"/>
      <c r="C1333" s="32"/>
      <c r="D1333" s="32"/>
      <c r="G1333" s="23"/>
    </row>
    <row r="1334" spans="1:7">
      <c r="A1334" s="38"/>
      <c r="B1334" s="39"/>
      <c r="C1334" s="32"/>
      <c r="D1334" s="32"/>
      <c r="G1334" s="23"/>
    </row>
    <row r="1335" spans="1:7">
      <c r="A1335" s="38"/>
      <c r="B1335" s="39"/>
      <c r="C1335" s="32"/>
      <c r="D1335" s="32"/>
      <c r="G1335" s="23"/>
    </row>
    <row r="1336" spans="1:7">
      <c r="A1336" s="38"/>
      <c r="B1336" s="39"/>
      <c r="C1336" s="32"/>
      <c r="D1336" s="32"/>
      <c r="G1336" s="23"/>
    </row>
    <row r="1337" spans="1:7">
      <c r="A1337" s="38"/>
      <c r="B1337" s="39"/>
      <c r="C1337" s="32"/>
      <c r="D1337" s="32"/>
      <c r="G1337" s="23"/>
    </row>
    <row r="1338" spans="1:7">
      <c r="A1338" s="38"/>
      <c r="B1338" s="39"/>
      <c r="C1338" s="32"/>
      <c r="D1338" s="32"/>
      <c r="G1338" s="23"/>
    </row>
    <row r="1339" spans="1:7">
      <c r="A1339" s="38"/>
      <c r="B1339" s="39"/>
      <c r="C1339" s="32"/>
      <c r="D1339" s="32"/>
      <c r="G1339" s="23"/>
    </row>
    <row r="1340" spans="1:7">
      <c r="A1340" s="38"/>
      <c r="B1340" s="39"/>
      <c r="C1340" s="32"/>
      <c r="D1340" s="32"/>
      <c r="G1340" s="23"/>
    </row>
    <row r="1341" spans="1:7">
      <c r="A1341" s="38"/>
      <c r="B1341" s="39"/>
      <c r="C1341" s="32"/>
      <c r="D1341" s="32"/>
      <c r="G1341" s="23"/>
    </row>
    <row r="1342" spans="1:7">
      <c r="A1342" s="38"/>
      <c r="B1342" s="39"/>
      <c r="C1342" s="32"/>
      <c r="D1342" s="32"/>
      <c r="G1342" s="23"/>
    </row>
    <row r="1343" spans="1:7">
      <c r="A1343" s="38"/>
      <c r="B1343" s="39"/>
      <c r="C1343" s="32"/>
      <c r="D1343" s="32"/>
      <c r="G1343" s="23"/>
    </row>
    <row r="1344" spans="1:7">
      <c r="A1344" s="38"/>
      <c r="B1344" s="39"/>
      <c r="C1344" s="32"/>
      <c r="D1344" s="32"/>
      <c r="G1344" s="23"/>
    </row>
    <row r="1345" spans="1:7">
      <c r="A1345" s="38"/>
      <c r="B1345" s="39"/>
      <c r="C1345" s="32"/>
      <c r="D1345" s="32"/>
      <c r="G1345" s="23"/>
    </row>
    <row r="1346" spans="1:7">
      <c r="A1346" s="38"/>
      <c r="B1346" s="39"/>
      <c r="C1346" s="32"/>
      <c r="D1346" s="32"/>
      <c r="G1346" s="23"/>
    </row>
    <row r="1347" spans="1:7">
      <c r="A1347" s="38"/>
      <c r="B1347" s="39"/>
      <c r="C1347" s="32"/>
      <c r="D1347" s="32"/>
      <c r="G1347" s="23"/>
    </row>
    <row r="1348" spans="1:7">
      <c r="A1348" s="38"/>
      <c r="B1348" s="39"/>
      <c r="C1348" s="32"/>
      <c r="D1348" s="32"/>
      <c r="G1348" s="23"/>
    </row>
    <row r="1349" spans="1:7">
      <c r="A1349" s="38"/>
      <c r="B1349" s="39"/>
      <c r="C1349" s="32"/>
      <c r="D1349" s="32"/>
      <c r="G1349" s="23"/>
    </row>
    <row r="1350" spans="1:7">
      <c r="A1350" s="38"/>
      <c r="B1350" s="39"/>
      <c r="C1350" s="32"/>
      <c r="D1350" s="32"/>
      <c r="G1350" s="23"/>
    </row>
    <row r="1351" spans="1:7">
      <c r="A1351" s="38"/>
      <c r="B1351" s="39"/>
      <c r="C1351" s="32"/>
      <c r="D1351" s="32"/>
      <c r="G1351" s="23"/>
    </row>
    <row r="1352" spans="1:7">
      <c r="A1352" s="38"/>
      <c r="B1352" s="39"/>
      <c r="C1352" s="32"/>
      <c r="D1352" s="32"/>
      <c r="G1352" s="23"/>
    </row>
    <row r="1353" spans="1:7">
      <c r="A1353" s="38"/>
      <c r="B1353" s="39"/>
      <c r="C1353" s="32"/>
      <c r="D1353" s="32"/>
      <c r="G1353" s="23"/>
    </row>
    <row r="1354" spans="1:7">
      <c r="A1354" s="38"/>
      <c r="B1354" s="39"/>
      <c r="C1354" s="32"/>
      <c r="D1354" s="32"/>
      <c r="G1354" s="23"/>
    </row>
    <row r="1355" spans="1:7">
      <c r="A1355" s="38"/>
      <c r="B1355" s="39"/>
      <c r="C1355" s="32"/>
      <c r="D1355" s="32"/>
      <c r="G1355" s="23"/>
    </row>
    <row r="1356" spans="1:7">
      <c r="A1356" s="38"/>
      <c r="B1356" s="39"/>
      <c r="C1356" s="32"/>
      <c r="D1356" s="32"/>
      <c r="G1356" s="23"/>
    </row>
    <row r="1357" spans="1:7">
      <c r="A1357" s="38"/>
      <c r="B1357" s="39"/>
      <c r="C1357" s="32"/>
      <c r="D1357" s="32"/>
      <c r="G1357" s="23"/>
    </row>
    <row r="1358" spans="1:7">
      <c r="A1358" s="38"/>
      <c r="B1358" s="39"/>
      <c r="C1358" s="32"/>
      <c r="D1358" s="32"/>
      <c r="G1358" s="23"/>
    </row>
    <row r="1359" spans="1:7">
      <c r="A1359" s="38"/>
      <c r="B1359" s="39"/>
      <c r="C1359" s="32"/>
      <c r="D1359" s="32"/>
      <c r="G1359" s="23"/>
    </row>
    <row r="1360" spans="1:7">
      <c r="A1360" s="38"/>
      <c r="B1360" s="39"/>
      <c r="C1360" s="32"/>
      <c r="D1360" s="32"/>
      <c r="G1360" s="23"/>
    </row>
    <row r="1361" spans="1:7">
      <c r="A1361" s="38"/>
      <c r="B1361" s="39"/>
      <c r="C1361" s="32"/>
      <c r="D1361" s="32"/>
      <c r="G1361" s="23"/>
    </row>
    <row r="1362" spans="1:7">
      <c r="A1362" s="38"/>
      <c r="B1362" s="39"/>
      <c r="C1362" s="32"/>
      <c r="D1362" s="32"/>
      <c r="G1362" s="23"/>
    </row>
    <row r="1363" spans="1:7">
      <c r="A1363" s="38"/>
      <c r="B1363" s="39"/>
      <c r="C1363" s="32"/>
      <c r="D1363" s="32"/>
      <c r="G1363" s="23"/>
    </row>
    <row r="1364" spans="1:7">
      <c r="A1364" s="38"/>
      <c r="B1364" s="39"/>
      <c r="C1364" s="32"/>
      <c r="D1364" s="32"/>
      <c r="G1364" s="23"/>
    </row>
    <row r="1365" spans="1:7">
      <c r="A1365" s="38"/>
      <c r="B1365" s="39"/>
      <c r="C1365" s="32"/>
      <c r="D1365" s="32"/>
      <c r="G1365" s="23"/>
    </row>
    <row r="1366" spans="1:7">
      <c r="A1366" s="38"/>
      <c r="B1366" s="39"/>
      <c r="C1366" s="32"/>
      <c r="D1366" s="32"/>
      <c r="G1366" s="23"/>
    </row>
    <row r="1367" spans="1:7">
      <c r="A1367" s="38"/>
      <c r="B1367" s="39"/>
      <c r="C1367" s="32"/>
      <c r="D1367" s="32"/>
      <c r="G1367" s="23"/>
    </row>
    <row r="1368" spans="1:7">
      <c r="A1368" s="38"/>
      <c r="B1368" s="39"/>
      <c r="C1368" s="32"/>
      <c r="D1368" s="32"/>
      <c r="G1368" s="23"/>
    </row>
    <row r="1369" spans="1:7">
      <c r="A1369" s="38"/>
      <c r="B1369" s="39"/>
      <c r="C1369" s="32"/>
      <c r="D1369" s="32"/>
      <c r="G1369" s="23"/>
    </row>
    <row r="1370" spans="1:7">
      <c r="A1370" s="38"/>
      <c r="B1370" s="39"/>
      <c r="C1370" s="32"/>
      <c r="D1370" s="32"/>
      <c r="G1370" s="23"/>
    </row>
    <row r="1371" spans="1:7">
      <c r="A1371" s="38"/>
      <c r="B1371" s="39"/>
      <c r="C1371" s="32"/>
      <c r="D1371" s="32"/>
      <c r="G1371" s="23"/>
    </row>
    <row r="1372" spans="1:7">
      <c r="A1372" s="38"/>
      <c r="B1372" s="39"/>
      <c r="C1372" s="32"/>
      <c r="D1372" s="32"/>
      <c r="G1372" s="23"/>
    </row>
    <row r="1373" spans="1:7">
      <c r="A1373" s="38"/>
      <c r="B1373" s="39"/>
      <c r="C1373" s="32"/>
      <c r="D1373" s="32"/>
      <c r="G1373" s="23"/>
    </row>
    <row r="1374" spans="1:7">
      <c r="A1374" s="38"/>
      <c r="B1374" s="39"/>
      <c r="C1374" s="32"/>
      <c r="D1374" s="32"/>
      <c r="G1374" s="23"/>
    </row>
    <row r="1375" spans="1:7">
      <c r="A1375" s="38"/>
      <c r="B1375" s="39"/>
      <c r="C1375" s="32"/>
      <c r="D1375" s="32"/>
      <c r="G1375" s="23"/>
    </row>
    <row r="1376" spans="1:7">
      <c r="A1376" s="38"/>
      <c r="B1376" s="39"/>
      <c r="C1376" s="32"/>
      <c r="D1376" s="32"/>
      <c r="G1376" s="23"/>
    </row>
    <row r="1377" spans="1:7">
      <c r="A1377" s="38"/>
      <c r="B1377" s="39"/>
      <c r="C1377" s="32"/>
      <c r="D1377" s="32"/>
      <c r="G1377" s="23"/>
    </row>
    <row r="1378" spans="1:7">
      <c r="A1378" s="38"/>
      <c r="B1378" s="39"/>
      <c r="C1378" s="32"/>
      <c r="D1378" s="32"/>
      <c r="G1378" s="23"/>
    </row>
    <row r="1379" spans="1:7">
      <c r="A1379" s="38"/>
      <c r="B1379" s="39"/>
      <c r="C1379" s="32"/>
      <c r="D1379" s="32"/>
      <c r="G1379" s="23"/>
    </row>
    <row r="1380" spans="1:7">
      <c r="A1380" s="38"/>
      <c r="B1380" s="39"/>
      <c r="C1380" s="32"/>
      <c r="D1380" s="32"/>
      <c r="G1380" s="23"/>
    </row>
    <row r="1381" spans="1:7">
      <c r="A1381" s="38"/>
      <c r="B1381" s="39"/>
      <c r="C1381" s="32"/>
      <c r="D1381" s="32"/>
      <c r="G1381" s="23"/>
    </row>
    <row r="1382" spans="1:7">
      <c r="A1382" s="38"/>
      <c r="B1382" s="39"/>
      <c r="C1382" s="32"/>
      <c r="D1382" s="32"/>
      <c r="G1382" s="23"/>
    </row>
    <row r="1383" spans="1:7">
      <c r="A1383" s="38"/>
      <c r="B1383" s="39"/>
      <c r="C1383" s="32"/>
      <c r="D1383" s="32"/>
      <c r="G1383" s="23"/>
    </row>
    <row r="1384" spans="1:7">
      <c r="A1384" s="38"/>
      <c r="B1384" s="39"/>
      <c r="C1384" s="32"/>
      <c r="D1384" s="32"/>
      <c r="G1384" s="23"/>
    </row>
    <row r="1385" spans="1:7">
      <c r="A1385" s="38"/>
      <c r="B1385" s="39"/>
      <c r="C1385" s="32"/>
      <c r="D1385" s="32"/>
      <c r="G1385" s="23"/>
    </row>
    <row r="1386" spans="1:7">
      <c r="A1386" s="38"/>
      <c r="B1386" s="39"/>
      <c r="C1386" s="32"/>
      <c r="D1386" s="32"/>
      <c r="G1386" s="23"/>
    </row>
    <row r="1387" spans="1:7">
      <c r="A1387" s="38"/>
      <c r="B1387" s="39"/>
      <c r="C1387" s="32"/>
      <c r="D1387" s="32"/>
      <c r="G1387" s="23"/>
    </row>
    <row r="1388" spans="1:7">
      <c r="A1388" s="38"/>
      <c r="B1388" s="39"/>
      <c r="C1388" s="32"/>
      <c r="D1388" s="32"/>
      <c r="G1388" s="23"/>
    </row>
    <row r="1389" spans="1:7">
      <c r="A1389" s="38"/>
      <c r="B1389" s="39"/>
      <c r="C1389" s="32"/>
      <c r="D1389" s="32"/>
      <c r="G1389" s="23"/>
    </row>
    <row r="1390" spans="1:7">
      <c r="A1390" s="38"/>
      <c r="B1390" s="39"/>
      <c r="C1390" s="32"/>
      <c r="D1390" s="32"/>
      <c r="G1390" s="23"/>
    </row>
    <row r="1391" spans="1:7">
      <c r="A1391" s="38"/>
      <c r="B1391" s="39"/>
      <c r="C1391" s="32"/>
      <c r="D1391" s="32"/>
      <c r="G1391" s="23"/>
    </row>
    <row r="1392" spans="1:7">
      <c r="A1392" s="38"/>
      <c r="B1392" s="39"/>
      <c r="C1392" s="32"/>
      <c r="D1392" s="32"/>
      <c r="G1392" s="23"/>
    </row>
    <row r="1393" spans="1:7">
      <c r="A1393" s="38"/>
      <c r="B1393" s="39"/>
      <c r="C1393" s="32"/>
      <c r="D1393" s="32"/>
      <c r="G1393" s="23"/>
    </row>
    <row r="1394" spans="1:7">
      <c r="A1394" s="38"/>
      <c r="B1394" s="39"/>
      <c r="C1394" s="32"/>
      <c r="D1394" s="32"/>
      <c r="G1394" s="23"/>
    </row>
    <row r="1395" spans="1:7">
      <c r="A1395" s="38"/>
      <c r="B1395" s="39"/>
      <c r="C1395" s="32"/>
      <c r="D1395" s="32"/>
      <c r="G1395" s="23"/>
    </row>
    <row r="1396" spans="1:7">
      <c r="A1396" s="38"/>
      <c r="B1396" s="39"/>
      <c r="C1396" s="32"/>
      <c r="D1396" s="32"/>
      <c r="G1396" s="23"/>
    </row>
    <row r="1397" spans="1:7">
      <c r="A1397" s="38"/>
      <c r="B1397" s="39"/>
      <c r="C1397" s="32"/>
      <c r="D1397" s="32"/>
      <c r="G1397" s="23"/>
    </row>
    <row r="1398" spans="1:7">
      <c r="A1398" s="38"/>
      <c r="B1398" s="39"/>
      <c r="C1398" s="32"/>
      <c r="D1398" s="32"/>
      <c r="G1398" s="23"/>
    </row>
    <row r="1399" spans="1:7">
      <c r="A1399" s="38"/>
      <c r="B1399" s="39"/>
      <c r="C1399" s="32"/>
      <c r="D1399" s="32"/>
      <c r="G1399" s="23"/>
    </row>
    <row r="1400" spans="1:7">
      <c r="A1400" s="38"/>
      <c r="B1400" s="39"/>
      <c r="C1400" s="32"/>
      <c r="D1400" s="32"/>
      <c r="G1400" s="23"/>
    </row>
    <row r="1401" spans="1:7">
      <c r="A1401" s="38"/>
      <c r="B1401" s="39"/>
      <c r="C1401" s="32"/>
      <c r="D1401" s="32"/>
      <c r="G1401" s="23"/>
    </row>
    <row r="1402" spans="1:7">
      <c r="A1402" s="38"/>
      <c r="B1402" s="39"/>
      <c r="C1402" s="32"/>
      <c r="D1402" s="32"/>
      <c r="G1402" s="23"/>
    </row>
    <row r="1403" spans="1:7">
      <c r="A1403" s="38"/>
      <c r="B1403" s="39"/>
      <c r="C1403" s="32"/>
      <c r="D1403" s="32"/>
      <c r="G1403" s="23"/>
    </row>
    <row r="1404" spans="1:7">
      <c r="A1404" s="38"/>
      <c r="B1404" s="39"/>
      <c r="C1404" s="32"/>
      <c r="D1404" s="32"/>
      <c r="G1404" s="23"/>
    </row>
    <row r="1405" spans="1:7">
      <c r="A1405" s="38"/>
      <c r="B1405" s="39"/>
      <c r="C1405" s="32"/>
      <c r="D1405" s="32"/>
      <c r="G1405" s="23"/>
    </row>
    <row r="1406" spans="1:7">
      <c r="A1406" s="38"/>
      <c r="B1406" s="39"/>
      <c r="C1406" s="32"/>
      <c r="D1406" s="32"/>
      <c r="G1406" s="23"/>
    </row>
    <row r="1407" spans="1:7">
      <c r="A1407" s="38"/>
      <c r="B1407" s="39"/>
      <c r="C1407" s="32"/>
      <c r="D1407" s="32"/>
      <c r="G1407" s="23"/>
    </row>
    <row r="1408" spans="1:7">
      <c r="A1408" s="38"/>
      <c r="B1408" s="39"/>
      <c r="C1408" s="32"/>
      <c r="D1408" s="32"/>
      <c r="G1408" s="23"/>
    </row>
    <row r="1409" spans="1:7">
      <c r="A1409" s="38"/>
      <c r="B1409" s="39"/>
      <c r="C1409" s="32"/>
      <c r="D1409" s="32"/>
      <c r="G1409" s="23"/>
    </row>
    <row r="1410" spans="1:7">
      <c r="A1410" s="38"/>
      <c r="B1410" s="39"/>
      <c r="C1410" s="32"/>
      <c r="D1410" s="32"/>
      <c r="G1410" s="23"/>
    </row>
    <row r="1411" spans="1:7">
      <c r="A1411" s="38"/>
      <c r="B1411" s="39"/>
      <c r="C1411" s="32"/>
      <c r="D1411" s="32"/>
      <c r="G1411" s="23"/>
    </row>
    <row r="1412" spans="1:7">
      <c r="A1412" s="38"/>
      <c r="B1412" s="39"/>
      <c r="C1412" s="32"/>
      <c r="D1412" s="32"/>
      <c r="G1412" s="23"/>
    </row>
    <row r="1413" spans="1:7">
      <c r="A1413" s="38"/>
      <c r="B1413" s="39"/>
      <c r="C1413" s="32"/>
      <c r="D1413" s="32"/>
      <c r="G1413" s="23"/>
    </row>
    <row r="1414" spans="1:7">
      <c r="A1414" s="38"/>
      <c r="B1414" s="39"/>
      <c r="C1414" s="32"/>
      <c r="D1414" s="32"/>
      <c r="G1414" s="23"/>
    </row>
    <row r="1415" spans="1:7">
      <c r="A1415" s="38"/>
      <c r="B1415" s="39"/>
      <c r="C1415" s="32"/>
      <c r="D1415" s="32"/>
      <c r="G1415" s="23"/>
    </row>
    <row r="1416" spans="1:7">
      <c r="A1416" s="38"/>
      <c r="B1416" s="39"/>
      <c r="C1416" s="32"/>
      <c r="D1416" s="32"/>
      <c r="G1416" s="23"/>
    </row>
    <row r="1417" spans="1:7">
      <c r="A1417" s="38"/>
      <c r="B1417" s="39"/>
      <c r="C1417" s="32"/>
      <c r="D1417" s="32"/>
      <c r="G1417" s="23"/>
    </row>
    <row r="1418" spans="1:7">
      <c r="A1418" s="38"/>
      <c r="B1418" s="39"/>
      <c r="C1418" s="32"/>
      <c r="D1418" s="32"/>
      <c r="G1418" s="23"/>
    </row>
    <row r="1419" spans="1:7">
      <c r="A1419" s="38"/>
      <c r="B1419" s="39"/>
      <c r="C1419" s="32"/>
      <c r="D1419" s="32"/>
      <c r="G1419" s="23"/>
    </row>
    <row r="1420" spans="1:7">
      <c r="A1420" s="38"/>
      <c r="B1420" s="39"/>
      <c r="C1420" s="32"/>
      <c r="D1420" s="32"/>
      <c r="G1420" s="23"/>
    </row>
    <row r="1421" spans="1:7">
      <c r="A1421" s="38"/>
      <c r="B1421" s="39"/>
      <c r="C1421" s="32"/>
      <c r="D1421" s="32"/>
      <c r="G1421" s="23"/>
    </row>
    <row r="1422" spans="1:7">
      <c r="A1422" s="38"/>
      <c r="B1422" s="39"/>
      <c r="C1422" s="32"/>
      <c r="D1422" s="32"/>
      <c r="G1422" s="23"/>
    </row>
    <row r="1423" spans="1:7">
      <c r="A1423" s="38"/>
      <c r="B1423" s="39"/>
      <c r="C1423" s="32"/>
      <c r="D1423" s="32"/>
      <c r="G1423" s="23"/>
    </row>
    <row r="1424" spans="1:7">
      <c r="A1424" s="38"/>
      <c r="B1424" s="39"/>
      <c r="C1424" s="32"/>
      <c r="D1424" s="32"/>
      <c r="G1424" s="23"/>
    </row>
    <row r="1425" spans="1:7">
      <c r="A1425" s="38"/>
      <c r="B1425" s="39"/>
      <c r="C1425" s="32"/>
      <c r="D1425" s="32"/>
      <c r="G1425" s="23"/>
    </row>
    <row r="1426" spans="1:7">
      <c r="A1426" s="38"/>
      <c r="B1426" s="39"/>
      <c r="C1426" s="32"/>
      <c r="D1426" s="32"/>
      <c r="G1426" s="23"/>
    </row>
    <row r="1427" spans="1:7">
      <c r="A1427" s="38"/>
      <c r="B1427" s="39"/>
      <c r="C1427" s="32"/>
      <c r="D1427" s="32"/>
      <c r="G1427" s="23"/>
    </row>
    <row r="1428" spans="1:7">
      <c r="A1428" s="38"/>
      <c r="B1428" s="39"/>
      <c r="C1428" s="32"/>
      <c r="D1428" s="32"/>
      <c r="G1428" s="23"/>
    </row>
    <row r="1429" spans="1:7">
      <c r="A1429" s="38"/>
      <c r="B1429" s="39"/>
      <c r="C1429" s="32"/>
      <c r="D1429" s="32"/>
      <c r="G1429" s="23"/>
    </row>
    <row r="1430" spans="1:7">
      <c r="A1430" s="38"/>
      <c r="B1430" s="39"/>
      <c r="C1430" s="32"/>
      <c r="D1430" s="32"/>
      <c r="G1430" s="23"/>
    </row>
    <row r="1431" spans="1:7">
      <c r="A1431" s="38"/>
      <c r="B1431" s="39"/>
      <c r="C1431" s="32"/>
      <c r="D1431" s="32"/>
      <c r="G1431" s="23"/>
    </row>
    <row r="1432" spans="1:7">
      <c r="A1432" s="38"/>
      <c r="B1432" s="39"/>
      <c r="C1432" s="32"/>
      <c r="D1432" s="32"/>
      <c r="G1432" s="23"/>
    </row>
    <row r="1433" spans="1:7">
      <c r="A1433" s="38"/>
      <c r="B1433" s="39"/>
      <c r="C1433" s="32"/>
      <c r="D1433" s="32"/>
      <c r="G1433" s="23"/>
    </row>
    <row r="1434" spans="1:7">
      <c r="A1434" s="38"/>
      <c r="B1434" s="39"/>
      <c r="C1434" s="32"/>
      <c r="D1434" s="32"/>
      <c r="G1434" s="23"/>
    </row>
    <row r="1435" spans="1:7">
      <c r="A1435" s="38"/>
      <c r="B1435" s="39"/>
      <c r="C1435" s="32"/>
      <c r="D1435" s="32"/>
      <c r="G1435" s="23"/>
    </row>
    <row r="1436" spans="1:7">
      <c r="A1436" s="38"/>
      <c r="B1436" s="39"/>
      <c r="C1436" s="32"/>
      <c r="D1436" s="32"/>
      <c r="G1436" s="23"/>
    </row>
    <row r="1437" spans="1:7">
      <c r="A1437" s="38"/>
      <c r="B1437" s="39"/>
      <c r="C1437" s="32"/>
      <c r="D1437" s="32"/>
      <c r="G1437" s="23"/>
    </row>
    <row r="1438" spans="1:7">
      <c r="A1438" s="38"/>
      <c r="B1438" s="39"/>
      <c r="C1438" s="32"/>
      <c r="D1438" s="32"/>
      <c r="G1438" s="23"/>
    </row>
    <row r="1439" spans="1:7">
      <c r="A1439" s="38"/>
      <c r="B1439" s="39"/>
      <c r="C1439" s="32"/>
      <c r="D1439" s="32"/>
      <c r="G1439" s="23"/>
    </row>
    <row r="1440" spans="1:7">
      <c r="A1440" s="38"/>
      <c r="B1440" s="39"/>
      <c r="C1440" s="32"/>
      <c r="D1440" s="32"/>
      <c r="G1440" s="23"/>
    </row>
    <row r="1441" spans="1:7">
      <c r="A1441" s="38"/>
      <c r="B1441" s="39"/>
      <c r="C1441" s="32"/>
      <c r="D1441" s="32"/>
      <c r="G1441" s="23"/>
    </row>
    <row r="1442" spans="1:7">
      <c r="A1442" s="38"/>
      <c r="B1442" s="39"/>
      <c r="C1442" s="32"/>
      <c r="D1442" s="32"/>
      <c r="G1442" s="23"/>
    </row>
    <row r="1443" spans="1:7">
      <c r="A1443" s="38"/>
      <c r="B1443" s="39"/>
      <c r="C1443" s="32"/>
      <c r="D1443" s="32"/>
      <c r="G1443" s="23"/>
    </row>
    <row r="1444" spans="1:7">
      <c r="A1444" s="38"/>
      <c r="B1444" s="39"/>
      <c r="C1444" s="32"/>
      <c r="D1444" s="32"/>
      <c r="G1444" s="23"/>
    </row>
    <row r="1445" spans="1:7">
      <c r="A1445" s="38"/>
      <c r="B1445" s="39"/>
      <c r="C1445" s="32"/>
      <c r="D1445" s="32"/>
      <c r="G1445" s="23"/>
    </row>
    <row r="1446" spans="1:7">
      <c r="A1446" s="38"/>
      <c r="B1446" s="39"/>
      <c r="C1446" s="32"/>
      <c r="D1446" s="32"/>
      <c r="G1446" s="23"/>
    </row>
    <row r="1447" spans="1:7">
      <c r="A1447" s="38"/>
      <c r="B1447" s="39"/>
      <c r="C1447" s="32"/>
      <c r="D1447" s="32"/>
      <c r="G1447" s="23"/>
    </row>
    <row r="1448" spans="1:7">
      <c r="A1448" s="38"/>
      <c r="B1448" s="39"/>
      <c r="C1448" s="32"/>
      <c r="D1448" s="32"/>
      <c r="G1448" s="23"/>
    </row>
    <row r="1449" spans="1:7">
      <c r="A1449" s="38"/>
      <c r="B1449" s="39"/>
      <c r="C1449" s="32"/>
      <c r="D1449" s="32"/>
      <c r="G1449" s="23"/>
    </row>
    <row r="1450" spans="1:7">
      <c r="A1450" s="38"/>
      <c r="B1450" s="39"/>
      <c r="C1450" s="32"/>
      <c r="D1450" s="32"/>
      <c r="G1450" s="23"/>
    </row>
    <row r="1451" spans="1:7">
      <c r="A1451" s="38"/>
      <c r="B1451" s="39"/>
      <c r="C1451" s="32"/>
      <c r="D1451" s="32"/>
      <c r="G1451" s="23"/>
    </row>
    <row r="1452" spans="1:7">
      <c r="A1452" s="38"/>
      <c r="B1452" s="39"/>
      <c r="C1452" s="32"/>
      <c r="D1452" s="32"/>
      <c r="G1452" s="23"/>
    </row>
    <row r="1453" spans="1:7">
      <c r="A1453" s="38"/>
      <c r="B1453" s="39"/>
      <c r="C1453" s="32"/>
      <c r="D1453" s="32"/>
      <c r="G1453" s="23"/>
    </row>
    <row r="1454" spans="1:7">
      <c r="A1454" s="38"/>
      <c r="B1454" s="39"/>
      <c r="C1454" s="32"/>
      <c r="D1454" s="32"/>
      <c r="G1454" s="23"/>
    </row>
    <row r="1455" spans="1:7">
      <c r="A1455" s="38"/>
      <c r="B1455" s="39"/>
      <c r="C1455" s="32"/>
      <c r="D1455" s="32"/>
      <c r="G1455" s="23"/>
    </row>
    <row r="1456" spans="1:7">
      <c r="A1456" s="38"/>
      <c r="B1456" s="39"/>
      <c r="C1456" s="32"/>
      <c r="D1456" s="32"/>
      <c r="G1456" s="23"/>
    </row>
    <row r="1457" spans="1:7">
      <c r="A1457" s="38"/>
      <c r="B1457" s="39"/>
      <c r="C1457" s="32"/>
      <c r="D1457" s="32"/>
      <c r="G1457" s="23"/>
    </row>
    <row r="1458" spans="1:7">
      <c r="A1458" s="38"/>
      <c r="B1458" s="39"/>
      <c r="C1458" s="32"/>
      <c r="D1458" s="32"/>
      <c r="G1458" s="23"/>
    </row>
    <row r="1459" spans="1:7">
      <c r="A1459" s="38"/>
      <c r="B1459" s="39"/>
      <c r="C1459" s="32"/>
      <c r="D1459" s="32"/>
      <c r="G1459" s="23"/>
    </row>
    <row r="1460" spans="1:7">
      <c r="A1460" s="38"/>
      <c r="B1460" s="39"/>
      <c r="C1460" s="32"/>
      <c r="D1460" s="32"/>
      <c r="G1460" s="23"/>
    </row>
    <row r="1461" spans="1:7">
      <c r="A1461" s="38"/>
      <c r="B1461" s="39"/>
      <c r="C1461" s="32"/>
      <c r="D1461" s="32"/>
      <c r="G1461" s="23"/>
    </row>
    <row r="1462" spans="1:7">
      <c r="A1462" s="38"/>
      <c r="B1462" s="39"/>
      <c r="C1462" s="32"/>
      <c r="D1462" s="32"/>
      <c r="G1462" s="23"/>
    </row>
    <row r="1463" spans="1:7">
      <c r="A1463" s="38"/>
      <c r="B1463" s="39"/>
      <c r="C1463" s="32"/>
      <c r="D1463" s="32"/>
      <c r="G1463" s="23"/>
    </row>
    <row r="1464" spans="1:7">
      <c r="A1464" s="38"/>
      <c r="B1464" s="39"/>
      <c r="C1464" s="32"/>
      <c r="D1464" s="32"/>
      <c r="G1464" s="23"/>
    </row>
    <row r="1465" spans="1:7">
      <c r="A1465" s="38"/>
      <c r="B1465" s="39"/>
      <c r="C1465" s="32"/>
      <c r="D1465" s="32"/>
      <c r="G1465" s="23"/>
    </row>
    <row r="1466" spans="1:7">
      <c r="A1466" s="38"/>
      <c r="B1466" s="39"/>
      <c r="C1466" s="32"/>
      <c r="D1466" s="32"/>
      <c r="G1466" s="23"/>
    </row>
    <row r="1467" spans="1:7">
      <c r="A1467" s="38"/>
      <c r="B1467" s="39"/>
      <c r="C1467" s="32"/>
      <c r="D1467" s="32"/>
      <c r="G1467" s="23"/>
    </row>
    <row r="1468" spans="1:7">
      <c r="A1468" s="38"/>
      <c r="B1468" s="39"/>
      <c r="C1468" s="32"/>
      <c r="D1468" s="32"/>
      <c r="G1468" s="23"/>
    </row>
    <row r="1469" spans="1:7">
      <c r="A1469" s="38"/>
      <c r="B1469" s="39"/>
      <c r="C1469" s="32"/>
      <c r="D1469" s="32"/>
      <c r="G1469" s="23"/>
    </row>
    <row r="1470" spans="1:7">
      <c r="A1470" s="38"/>
      <c r="B1470" s="39"/>
      <c r="C1470" s="32"/>
      <c r="D1470" s="32"/>
      <c r="G1470" s="23"/>
    </row>
    <row r="1471" spans="1:7">
      <c r="A1471" s="38"/>
      <c r="B1471" s="39"/>
      <c r="C1471" s="32"/>
      <c r="D1471" s="32"/>
      <c r="G1471" s="23"/>
    </row>
    <row r="1472" spans="1:7">
      <c r="A1472" s="38"/>
      <c r="B1472" s="39"/>
      <c r="C1472" s="32"/>
      <c r="D1472" s="32"/>
      <c r="G1472" s="23"/>
    </row>
    <row r="1473" spans="1:7">
      <c r="A1473" s="38"/>
      <c r="B1473" s="39"/>
      <c r="C1473" s="32"/>
      <c r="D1473" s="32"/>
      <c r="G1473" s="23"/>
    </row>
    <row r="1474" spans="1:7">
      <c r="A1474" s="38"/>
      <c r="B1474" s="39"/>
      <c r="C1474" s="32"/>
      <c r="D1474" s="32"/>
      <c r="G1474" s="23"/>
    </row>
    <row r="1475" spans="1:7">
      <c r="A1475" s="38"/>
      <c r="B1475" s="39"/>
      <c r="C1475" s="32"/>
      <c r="D1475" s="32"/>
      <c r="G1475" s="23"/>
    </row>
    <row r="1476" spans="1:7">
      <c r="A1476" s="38"/>
      <c r="B1476" s="39"/>
      <c r="C1476" s="32"/>
      <c r="D1476" s="32"/>
      <c r="G1476" s="23"/>
    </row>
    <row r="1477" spans="1:7">
      <c r="A1477" s="38"/>
      <c r="B1477" s="39"/>
      <c r="C1477" s="32"/>
      <c r="D1477" s="32"/>
      <c r="G1477" s="23"/>
    </row>
    <row r="1478" spans="1:7">
      <c r="A1478" s="38"/>
      <c r="B1478" s="39"/>
      <c r="C1478" s="32"/>
      <c r="D1478" s="32"/>
      <c r="G1478" s="23"/>
    </row>
    <row r="1479" spans="1:7">
      <c r="A1479" s="38"/>
      <c r="B1479" s="39"/>
      <c r="C1479" s="32"/>
      <c r="D1479" s="32"/>
      <c r="G1479" s="23"/>
    </row>
    <row r="1480" spans="1:7">
      <c r="A1480" s="38"/>
      <c r="B1480" s="39"/>
      <c r="C1480" s="32"/>
      <c r="D1480" s="32"/>
      <c r="G1480" s="23"/>
    </row>
    <row r="1481" spans="1:7">
      <c r="A1481" s="38"/>
      <c r="B1481" s="39"/>
      <c r="C1481" s="32"/>
      <c r="D1481" s="32"/>
      <c r="G1481" s="23"/>
    </row>
    <row r="1482" spans="1:7">
      <c r="A1482" s="38"/>
      <c r="B1482" s="39"/>
      <c r="C1482" s="32"/>
      <c r="D1482" s="32"/>
      <c r="G1482" s="23"/>
    </row>
    <row r="1483" spans="1:7">
      <c r="A1483" s="38"/>
      <c r="B1483" s="39"/>
      <c r="C1483" s="32"/>
      <c r="D1483" s="32"/>
      <c r="G1483" s="23"/>
    </row>
    <row r="1484" spans="1:7">
      <c r="A1484" s="38"/>
      <c r="B1484" s="39"/>
      <c r="C1484" s="32"/>
      <c r="D1484" s="32"/>
      <c r="G1484" s="23"/>
    </row>
    <row r="1485" spans="1:7">
      <c r="A1485" s="38"/>
      <c r="B1485" s="39"/>
      <c r="C1485" s="32"/>
      <c r="D1485" s="32"/>
      <c r="G1485" s="23"/>
    </row>
    <row r="1486" spans="1:7">
      <c r="A1486" s="38"/>
      <c r="B1486" s="39"/>
      <c r="C1486" s="32"/>
      <c r="D1486" s="32"/>
      <c r="G1486" s="23"/>
    </row>
    <row r="1487" spans="1:7">
      <c r="A1487" s="38"/>
      <c r="B1487" s="39"/>
      <c r="C1487" s="32"/>
      <c r="D1487" s="32"/>
      <c r="G1487" s="23"/>
    </row>
    <row r="1488" spans="1:7">
      <c r="A1488" s="38"/>
      <c r="B1488" s="39"/>
      <c r="C1488" s="32"/>
      <c r="D1488" s="32"/>
      <c r="G1488" s="23"/>
    </row>
    <row r="1489" spans="1:7">
      <c r="A1489" s="38"/>
      <c r="B1489" s="39"/>
      <c r="C1489" s="32"/>
      <c r="D1489" s="32"/>
      <c r="G1489" s="23"/>
    </row>
    <row r="1490" spans="1:7">
      <c r="A1490" s="38"/>
      <c r="B1490" s="39"/>
      <c r="C1490" s="32"/>
      <c r="D1490" s="32"/>
      <c r="G1490" s="23"/>
    </row>
    <row r="1491" spans="1:7">
      <c r="A1491" s="38"/>
      <c r="B1491" s="39"/>
      <c r="C1491" s="32"/>
      <c r="D1491" s="32"/>
      <c r="G1491" s="23"/>
    </row>
    <row r="1492" spans="1:7">
      <c r="A1492" s="38"/>
      <c r="B1492" s="39"/>
      <c r="C1492" s="32"/>
      <c r="D1492" s="32"/>
      <c r="G1492" s="23"/>
    </row>
    <row r="1493" spans="1:7">
      <c r="A1493" s="38"/>
      <c r="B1493" s="39"/>
      <c r="C1493" s="32"/>
      <c r="D1493" s="32"/>
      <c r="G1493" s="23"/>
    </row>
    <row r="1494" spans="1:7">
      <c r="A1494" s="38"/>
      <c r="B1494" s="39"/>
      <c r="C1494" s="32"/>
      <c r="D1494" s="32"/>
      <c r="G1494" s="23"/>
    </row>
    <row r="1495" spans="1:7">
      <c r="A1495" s="38"/>
      <c r="B1495" s="39"/>
      <c r="C1495" s="32"/>
      <c r="D1495" s="32"/>
      <c r="G1495" s="23"/>
    </row>
    <row r="1496" spans="1:7">
      <c r="A1496" s="38"/>
      <c r="B1496" s="39"/>
      <c r="C1496" s="32"/>
      <c r="D1496" s="32"/>
      <c r="G1496" s="23"/>
    </row>
    <row r="1497" spans="1:7">
      <c r="A1497" s="38"/>
      <c r="B1497" s="39"/>
      <c r="C1497" s="32"/>
      <c r="D1497" s="32"/>
      <c r="G1497" s="23"/>
    </row>
    <row r="1498" spans="1:7">
      <c r="A1498" s="38"/>
      <c r="B1498" s="39"/>
      <c r="C1498" s="32"/>
      <c r="D1498" s="32"/>
      <c r="G1498" s="23"/>
    </row>
    <row r="1499" spans="1:7">
      <c r="A1499" s="38"/>
      <c r="B1499" s="39"/>
      <c r="C1499" s="32"/>
      <c r="D1499" s="32"/>
      <c r="G1499" s="23"/>
    </row>
    <row r="1500" spans="1:7">
      <c r="A1500" s="38"/>
      <c r="B1500" s="39"/>
      <c r="C1500" s="32"/>
      <c r="D1500" s="32"/>
      <c r="G1500" s="23"/>
    </row>
    <row r="1501" spans="1:7">
      <c r="A1501" s="38"/>
      <c r="B1501" s="39"/>
      <c r="C1501" s="32"/>
      <c r="D1501" s="32"/>
      <c r="G1501" s="23"/>
    </row>
    <row r="1502" spans="1:7">
      <c r="A1502" s="38"/>
      <c r="B1502" s="39"/>
      <c r="C1502" s="32"/>
      <c r="D1502" s="32"/>
      <c r="G1502" s="23"/>
    </row>
    <row r="1503" spans="1:7">
      <c r="A1503" s="38"/>
      <c r="B1503" s="39"/>
      <c r="C1503" s="32"/>
      <c r="D1503" s="32"/>
      <c r="G1503" s="23"/>
    </row>
    <row r="1504" spans="1:7">
      <c r="A1504" s="38"/>
      <c r="B1504" s="39"/>
      <c r="C1504" s="32"/>
      <c r="D1504" s="32"/>
      <c r="G1504" s="23"/>
    </row>
    <row r="1505" spans="1:7">
      <c r="A1505" s="38"/>
      <c r="B1505" s="39"/>
      <c r="C1505" s="32"/>
      <c r="D1505" s="32"/>
      <c r="G1505" s="23"/>
    </row>
    <row r="1506" spans="1:7">
      <c r="A1506" s="38"/>
      <c r="B1506" s="39"/>
      <c r="C1506" s="32"/>
      <c r="D1506" s="32"/>
      <c r="G1506" s="23"/>
    </row>
    <row r="1507" spans="1:7">
      <c r="A1507" s="38"/>
      <c r="B1507" s="39"/>
      <c r="C1507" s="32"/>
      <c r="D1507" s="32"/>
      <c r="G1507" s="23"/>
    </row>
    <row r="1508" spans="1:7">
      <c r="A1508" s="38"/>
      <c r="B1508" s="39"/>
      <c r="C1508" s="32"/>
      <c r="D1508" s="32"/>
      <c r="G1508" s="23"/>
    </row>
    <row r="1509" spans="1:7">
      <c r="A1509" s="38"/>
      <c r="B1509" s="39"/>
      <c r="C1509" s="32"/>
      <c r="D1509" s="32"/>
      <c r="G1509" s="23"/>
    </row>
    <row r="1510" spans="1:7">
      <c r="A1510" s="38"/>
      <c r="B1510" s="39"/>
      <c r="C1510" s="32"/>
      <c r="D1510" s="32"/>
      <c r="G1510" s="23"/>
    </row>
    <row r="1511" spans="1:7">
      <c r="A1511" s="38"/>
      <c r="B1511" s="39"/>
      <c r="C1511" s="32"/>
      <c r="D1511" s="32"/>
      <c r="G1511" s="23"/>
    </row>
    <row r="1512" spans="1:7">
      <c r="A1512" s="38"/>
      <c r="B1512" s="39"/>
      <c r="C1512" s="32"/>
      <c r="D1512" s="32"/>
      <c r="G1512" s="23"/>
    </row>
    <row r="1513" spans="1:7">
      <c r="A1513" s="38"/>
      <c r="B1513" s="39"/>
      <c r="C1513" s="32"/>
      <c r="D1513" s="32"/>
      <c r="G1513" s="23"/>
    </row>
    <row r="1514" spans="1:7">
      <c r="A1514" s="38"/>
      <c r="B1514" s="39"/>
      <c r="C1514" s="32"/>
      <c r="D1514" s="32"/>
      <c r="G1514" s="23"/>
    </row>
    <row r="1515" spans="1:7">
      <c r="A1515" s="38"/>
      <c r="B1515" s="39"/>
      <c r="C1515" s="32"/>
      <c r="D1515" s="32"/>
      <c r="G1515" s="23"/>
    </row>
    <row r="1516" spans="1:7">
      <c r="A1516" s="38"/>
      <c r="B1516" s="39"/>
      <c r="C1516" s="32"/>
      <c r="D1516" s="32"/>
      <c r="G1516" s="23"/>
    </row>
    <row r="1517" spans="1:7">
      <c r="A1517" s="38"/>
      <c r="B1517" s="39"/>
      <c r="C1517" s="32"/>
      <c r="D1517" s="32"/>
      <c r="G1517" s="23"/>
    </row>
    <row r="1518" spans="1:7">
      <c r="A1518" s="38"/>
      <c r="B1518" s="39"/>
      <c r="C1518" s="32"/>
      <c r="D1518" s="32"/>
      <c r="G1518" s="23"/>
    </row>
    <row r="1519" spans="1:7">
      <c r="A1519" s="38"/>
      <c r="B1519" s="39"/>
      <c r="C1519" s="32"/>
      <c r="D1519" s="32"/>
      <c r="G1519" s="23"/>
    </row>
    <row r="1520" spans="1:7">
      <c r="A1520" s="38"/>
      <c r="B1520" s="39"/>
      <c r="C1520" s="32"/>
      <c r="D1520" s="32"/>
      <c r="G1520" s="23"/>
    </row>
    <row r="1521" spans="1:7">
      <c r="A1521" s="38"/>
      <c r="B1521" s="39"/>
      <c r="C1521" s="32"/>
      <c r="D1521" s="32"/>
      <c r="G1521" s="23"/>
    </row>
    <row r="1522" spans="1:7">
      <c r="A1522" s="38"/>
      <c r="B1522" s="39"/>
      <c r="C1522" s="32"/>
      <c r="D1522" s="32"/>
      <c r="G1522" s="23"/>
    </row>
    <row r="1523" spans="1:7">
      <c r="A1523" s="38"/>
      <c r="B1523" s="39"/>
      <c r="C1523" s="32"/>
      <c r="D1523" s="32"/>
      <c r="G1523" s="23"/>
    </row>
    <row r="1524" spans="1:7">
      <c r="A1524" s="38"/>
      <c r="B1524" s="39"/>
      <c r="C1524" s="32"/>
      <c r="D1524" s="32"/>
      <c r="G1524" s="23"/>
    </row>
    <row r="1525" spans="1:7">
      <c r="A1525" s="38"/>
      <c r="B1525" s="39"/>
      <c r="C1525" s="32"/>
      <c r="D1525" s="32"/>
      <c r="G1525" s="23"/>
    </row>
    <row r="1526" spans="1:7">
      <c r="A1526" s="38"/>
      <c r="B1526" s="39"/>
      <c r="C1526" s="32"/>
      <c r="D1526" s="32"/>
      <c r="G1526" s="23"/>
    </row>
    <row r="1527" spans="1:7">
      <c r="A1527" s="38"/>
      <c r="B1527" s="39"/>
      <c r="C1527" s="32"/>
      <c r="D1527" s="32"/>
      <c r="G1527" s="23"/>
    </row>
    <row r="1528" spans="1:7">
      <c r="A1528" s="38"/>
      <c r="B1528" s="39"/>
      <c r="C1528" s="32"/>
      <c r="D1528" s="32"/>
      <c r="G1528" s="23"/>
    </row>
    <row r="1529" spans="1:7">
      <c r="A1529" s="38"/>
      <c r="B1529" s="39"/>
      <c r="C1529" s="32"/>
      <c r="D1529" s="32"/>
      <c r="G1529" s="23"/>
    </row>
    <row r="1530" spans="1:7">
      <c r="A1530" s="38"/>
      <c r="B1530" s="39"/>
      <c r="C1530" s="32"/>
      <c r="D1530" s="32"/>
      <c r="G1530" s="23"/>
    </row>
    <row r="1531" spans="1:7">
      <c r="A1531" s="38"/>
      <c r="B1531" s="39"/>
      <c r="C1531" s="32"/>
      <c r="D1531" s="32"/>
      <c r="G1531" s="23"/>
    </row>
    <row r="1532" spans="1:7">
      <c r="A1532" s="38"/>
      <c r="B1532" s="39"/>
      <c r="C1532" s="32"/>
      <c r="D1532" s="32"/>
      <c r="G1532" s="23"/>
    </row>
    <row r="1533" spans="1:7">
      <c r="A1533" s="38"/>
      <c r="B1533" s="39"/>
      <c r="C1533" s="32"/>
      <c r="D1533" s="32"/>
      <c r="G1533" s="23"/>
    </row>
    <row r="1534" spans="1:7">
      <c r="A1534" s="38"/>
      <c r="B1534" s="39"/>
      <c r="C1534" s="32"/>
      <c r="D1534" s="32"/>
      <c r="G1534" s="23"/>
    </row>
    <row r="1535" spans="1:7">
      <c r="A1535" s="38"/>
      <c r="B1535" s="39"/>
      <c r="C1535" s="32"/>
      <c r="D1535" s="32"/>
      <c r="G1535" s="23"/>
    </row>
    <row r="1536" spans="1:7">
      <c r="A1536" s="38"/>
      <c r="B1536" s="39"/>
      <c r="C1536" s="32"/>
      <c r="D1536" s="32"/>
      <c r="G1536" s="23"/>
    </row>
    <row r="1537" spans="1:7">
      <c r="A1537" s="38"/>
      <c r="B1537" s="39"/>
      <c r="C1537" s="32"/>
      <c r="D1537" s="32"/>
      <c r="G1537" s="23"/>
    </row>
    <row r="1538" spans="1:7">
      <c r="A1538" s="38"/>
      <c r="B1538" s="39"/>
      <c r="C1538" s="32"/>
      <c r="D1538" s="32"/>
      <c r="G1538" s="23"/>
    </row>
    <row r="1539" spans="1:7">
      <c r="A1539" s="38"/>
      <c r="B1539" s="39"/>
      <c r="C1539" s="32"/>
      <c r="D1539" s="32"/>
      <c r="G1539" s="23"/>
    </row>
    <row r="1540" spans="1:7">
      <c r="A1540" s="38"/>
      <c r="B1540" s="39"/>
      <c r="C1540" s="32"/>
      <c r="D1540" s="32"/>
      <c r="G1540" s="23"/>
    </row>
    <row r="1541" spans="1:7">
      <c r="A1541" s="38"/>
      <c r="B1541" s="39"/>
      <c r="C1541" s="32"/>
      <c r="D1541" s="32"/>
      <c r="G1541" s="23"/>
    </row>
    <row r="1542" spans="1:7">
      <c r="A1542" s="38"/>
      <c r="B1542" s="39"/>
      <c r="C1542" s="32"/>
      <c r="D1542" s="32"/>
      <c r="G1542" s="23"/>
    </row>
    <row r="1543" spans="1:7">
      <c r="A1543" s="38"/>
      <c r="B1543" s="39"/>
      <c r="C1543" s="32"/>
      <c r="D1543" s="32"/>
      <c r="G1543" s="23"/>
    </row>
    <row r="1544" spans="1:7">
      <c r="A1544" s="38"/>
      <c r="B1544" s="39"/>
      <c r="C1544" s="32"/>
      <c r="D1544" s="32"/>
      <c r="G1544" s="23"/>
    </row>
    <row r="1545" spans="1:7">
      <c r="A1545" s="38"/>
      <c r="B1545" s="39"/>
      <c r="C1545" s="32"/>
      <c r="D1545" s="32"/>
      <c r="G1545" s="23"/>
    </row>
    <row r="1546" spans="1:7">
      <c r="A1546" s="38"/>
      <c r="B1546" s="39"/>
      <c r="C1546" s="32"/>
      <c r="D1546" s="32"/>
      <c r="G1546" s="23"/>
    </row>
    <row r="1547" spans="1:7">
      <c r="A1547" s="38"/>
      <c r="B1547" s="39"/>
      <c r="C1547" s="32"/>
      <c r="D1547" s="32"/>
      <c r="G1547" s="23"/>
    </row>
    <row r="1548" spans="1:7">
      <c r="A1548" s="38"/>
      <c r="B1548" s="39"/>
      <c r="C1548" s="32"/>
      <c r="D1548" s="32"/>
      <c r="G1548" s="23"/>
    </row>
    <row r="1549" spans="1:7">
      <c r="A1549" s="38"/>
      <c r="B1549" s="39"/>
      <c r="C1549" s="32"/>
      <c r="D1549" s="32"/>
      <c r="G1549" s="23"/>
    </row>
    <row r="1550" spans="1:7">
      <c r="A1550" s="38"/>
      <c r="B1550" s="39"/>
      <c r="C1550" s="32"/>
      <c r="D1550" s="32"/>
      <c r="G1550" s="23"/>
    </row>
    <row r="1551" spans="1:7">
      <c r="A1551" s="38"/>
      <c r="B1551" s="39"/>
      <c r="C1551" s="32"/>
      <c r="D1551" s="32"/>
      <c r="G1551" s="23"/>
    </row>
    <row r="1552" spans="1:7">
      <c r="A1552" s="38"/>
      <c r="B1552" s="39"/>
      <c r="C1552" s="32"/>
      <c r="D1552" s="32"/>
      <c r="G1552" s="23"/>
    </row>
    <row r="1553" spans="1:7">
      <c r="A1553" s="38"/>
      <c r="B1553" s="39"/>
      <c r="C1553" s="32"/>
      <c r="D1553" s="32"/>
      <c r="G1553" s="23"/>
    </row>
    <row r="1554" spans="1:7">
      <c r="A1554" s="38"/>
      <c r="B1554" s="39"/>
      <c r="C1554" s="32"/>
      <c r="D1554" s="32"/>
      <c r="G1554" s="23"/>
    </row>
    <row r="1555" spans="1:7">
      <c r="A1555" s="38"/>
      <c r="B1555" s="39"/>
      <c r="C1555" s="32"/>
      <c r="D1555" s="32"/>
      <c r="G1555" s="23"/>
    </row>
    <row r="1556" spans="1:7">
      <c r="A1556" s="38"/>
      <c r="B1556" s="39"/>
      <c r="C1556" s="32"/>
      <c r="D1556" s="32"/>
      <c r="G1556" s="23"/>
    </row>
    <row r="1557" spans="1:7">
      <c r="A1557" s="38"/>
      <c r="B1557" s="39"/>
      <c r="C1557" s="32"/>
      <c r="D1557" s="32"/>
      <c r="G1557" s="23"/>
    </row>
    <row r="1558" spans="1:7">
      <c r="A1558" s="38"/>
      <c r="B1558" s="39"/>
      <c r="C1558" s="32"/>
      <c r="D1558" s="32"/>
      <c r="G1558" s="23"/>
    </row>
    <row r="1559" spans="1:7">
      <c r="A1559" s="38"/>
      <c r="B1559" s="39"/>
      <c r="C1559" s="32"/>
      <c r="D1559" s="32"/>
      <c r="G1559" s="23"/>
    </row>
    <row r="1560" spans="1:7">
      <c r="A1560" s="38"/>
      <c r="B1560" s="39"/>
      <c r="C1560" s="32"/>
      <c r="D1560" s="32"/>
      <c r="G1560" s="23"/>
    </row>
    <row r="1561" spans="1:7">
      <c r="A1561" s="38"/>
      <c r="B1561" s="39"/>
      <c r="C1561" s="32"/>
      <c r="D1561" s="32"/>
      <c r="G1561" s="23"/>
    </row>
    <row r="1562" spans="1:7">
      <c r="A1562" s="38"/>
      <c r="B1562" s="39"/>
      <c r="C1562" s="32"/>
      <c r="D1562" s="32"/>
      <c r="G1562" s="23"/>
    </row>
    <row r="1563" spans="1:7">
      <c r="A1563" s="38"/>
      <c r="B1563" s="39"/>
      <c r="C1563" s="32"/>
      <c r="D1563" s="32"/>
      <c r="G1563" s="23"/>
    </row>
    <row r="1564" spans="1:7">
      <c r="A1564" s="38"/>
      <c r="B1564" s="39"/>
      <c r="C1564" s="32"/>
      <c r="D1564" s="32"/>
      <c r="G1564" s="23"/>
    </row>
    <row r="1565" spans="1:7">
      <c r="A1565" s="38"/>
      <c r="B1565" s="39"/>
      <c r="C1565" s="32"/>
      <c r="D1565" s="32"/>
      <c r="G1565" s="23"/>
    </row>
    <row r="1566" spans="1:7">
      <c r="A1566" s="38"/>
      <c r="B1566" s="39"/>
      <c r="C1566" s="32"/>
      <c r="D1566" s="32"/>
      <c r="G1566" s="23"/>
    </row>
    <row r="1567" spans="1:7">
      <c r="A1567" s="38"/>
      <c r="B1567" s="39"/>
      <c r="C1567" s="32"/>
      <c r="D1567" s="32"/>
      <c r="G1567" s="23"/>
    </row>
    <row r="1568" spans="1:7">
      <c r="A1568" s="38"/>
      <c r="B1568" s="39"/>
      <c r="C1568" s="32"/>
      <c r="D1568" s="32"/>
      <c r="G1568" s="23"/>
    </row>
    <row r="1569" spans="1:7">
      <c r="A1569" s="38"/>
      <c r="B1569" s="39"/>
      <c r="C1569" s="32"/>
      <c r="D1569" s="32"/>
      <c r="G1569" s="23"/>
    </row>
    <row r="1570" spans="1:7">
      <c r="A1570" s="38"/>
      <c r="B1570" s="39"/>
      <c r="C1570" s="32"/>
      <c r="D1570" s="32"/>
      <c r="G1570" s="23"/>
    </row>
    <row r="1571" spans="1:7">
      <c r="A1571" s="38"/>
      <c r="B1571" s="39"/>
      <c r="C1571" s="32"/>
      <c r="D1571" s="32"/>
      <c r="G1571" s="23"/>
    </row>
    <row r="1572" spans="1:7">
      <c r="A1572" s="38"/>
      <c r="B1572" s="39"/>
      <c r="C1572" s="32"/>
      <c r="D1572" s="32"/>
      <c r="G1572" s="23"/>
    </row>
    <row r="1573" spans="1:7">
      <c r="A1573" s="38"/>
      <c r="B1573" s="39"/>
      <c r="C1573" s="32"/>
      <c r="D1573" s="32"/>
      <c r="G1573" s="23"/>
    </row>
    <row r="1574" spans="1:7">
      <c r="A1574" s="38"/>
      <c r="B1574" s="39"/>
      <c r="C1574" s="32"/>
      <c r="D1574" s="32"/>
      <c r="G1574" s="23"/>
    </row>
    <row r="1575" spans="1:7">
      <c r="A1575" s="38"/>
      <c r="B1575" s="39"/>
      <c r="C1575" s="32"/>
      <c r="D1575" s="32"/>
      <c r="G1575" s="23"/>
    </row>
    <row r="1576" spans="1:7">
      <c r="A1576" s="38"/>
      <c r="B1576" s="39"/>
      <c r="C1576" s="32"/>
      <c r="D1576" s="32"/>
      <c r="G1576" s="23"/>
    </row>
    <row r="1577" spans="1:7">
      <c r="A1577" s="38"/>
      <c r="B1577" s="39"/>
      <c r="C1577" s="32"/>
      <c r="D1577" s="32"/>
      <c r="G1577" s="23"/>
    </row>
    <row r="1578" spans="1:7">
      <c r="A1578" s="38"/>
      <c r="B1578" s="39"/>
      <c r="C1578" s="32"/>
      <c r="D1578" s="32"/>
      <c r="G1578" s="23"/>
    </row>
    <row r="1579" spans="1:7">
      <c r="A1579" s="38"/>
      <c r="B1579" s="39"/>
      <c r="C1579" s="32"/>
      <c r="D1579" s="32"/>
      <c r="G1579" s="23"/>
    </row>
    <row r="1580" spans="1:7">
      <c r="A1580" s="38"/>
      <c r="B1580" s="39"/>
      <c r="C1580" s="32"/>
      <c r="D1580" s="32"/>
      <c r="G1580" s="23"/>
    </row>
    <row r="1581" spans="1:7">
      <c r="A1581" s="38"/>
      <c r="B1581" s="39"/>
      <c r="C1581" s="32"/>
      <c r="D1581" s="32"/>
      <c r="G1581" s="23"/>
    </row>
    <row r="1582" spans="1:7">
      <c r="A1582" s="38"/>
      <c r="B1582" s="39"/>
      <c r="C1582" s="32"/>
      <c r="D1582" s="32"/>
      <c r="G1582" s="23"/>
    </row>
    <row r="1583" spans="1:7">
      <c r="A1583" s="38"/>
      <c r="B1583" s="39"/>
      <c r="C1583" s="32"/>
      <c r="D1583" s="32"/>
      <c r="G1583" s="23"/>
    </row>
    <row r="1584" spans="1:7">
      <c r="A1584" s="38"/>
      <c r="B1584" s="39"/>
      <c r="C1584" s="32"/>
      <c r="D1584" s="32"/>
      <c r="G1584" s="23"/>
    </row>
    <row r="1585" spans="1:7">
      <c r="A1585" s="38"/>
      <c r="B1585" s="39"/>
      <c r="C1585" s="32"/>
      <c r="D1585" s="32"/>
      <c r="G1585" s="23"/>
    </row>
    <row r="1586" spans="1:7">
      <c r="A1586" s="38"/>
      <c r="B1586" s="39"/>
      <c r="C1586" s="32"/>
      <c r="D1586" s="32"/>
      <c r="G1586" s="23"/>
    </row>
    <row r="1587" spans="1:7">
      <c r="A1587" s="38"/>
      <c r="B1587" s="39"/>
      <c r="C1587" s="32"/>
      <c r="D1587" s="32"/>
      <c r="G1587" s="23"/>
    </row>
    <row r="1588" spans="1:7">
      <c r="A1588" s="38"/>
      <c r="B1588" s="39"/>
      <c r="C1588" s="32"/>
      <c r="D1588" s="32"/>
      <c r="G1588" s="23"/>
    </row>
    <row r="1589" spans="1:7">
      <c r="A1589" s="38"/>
      <c r="B1589" s="39"/>
      <c r="C1589" s="32"/>
      <c r="D1589" s="32"/>
      <c r="G1589" s="23"/>
    </row>
    <row r="1590" spans="1:7">
      <c r="A1590" s="38"/>
      <c r="B1590" s="39"/>
      <c r="C1590" s="32"/>
      <c r="D1590" s="32"/>
      <c r="G1590" s="23"/>
    </row>
    <row r="1591" spans="1:7">
      <c r="A1591" s="38"/>
      <c r="B1591" s="39"/>
      <c r="C1591" s="32"/>
      <c r="D1591" s="32"/>
      <c r="G1591" s="23"/>
    </row>
    <row r="1592" spans="1:7">
      <c r="A1592" s="38"/>
      <c r="B1592" s="39"/>
      <c r="C1592" s="32"/>
      <c r="D1592" s="32"/>
      <c r="G1592" s="23"/>
    </row>
    <row r="1593" spans="1:7">
      <c r="A1593" s="38"/>
      <c r="B1593" s="39"/>
      <c r="C1593" s="32"/>
      <c r="D1593" s="32"/>
      <c r="G1593" s="23"/>
    </row>
    <row r="1594" spans="1:7">
      <c r="A1594" s="38"/>
      <c r="B1594" s="39"/>
      <c r="C1594" s="32"/>
      <c r="D1594" s="32"/>
      <c r="G1594" s="23"/>
    </row>
    <row r="1595" spans="1:7">
      <c r="A1595" s="38"/>
      <c r="B1595" s="39"/>
      <c r="C1595" s="32"/>
      <c r="D1595" s="32"/>
      <c r="G1595" s="23"/>
    </row>
    <row r="1596" spans="1:7">
      <c r="A1596" s="38"/>
      <c r="B1596" s="39"/>
      <c r="C1596" s="32"/>
      <c r="D1596" s="32"/>
      <c r="G1596" s="23"/>
    </row>
    <row r="1597" spans="1:7">
      <c r="A1597" s="38"/>
      <c r="B1597" s="39"/>
      <c r="C1597" s="32"/>
      <c r="D1597" s="32"/>
      <c r="G1597" s="23"/>
    </row>
    <row r="1598" spans="1:7">
      <c r="A1598" s="38"/>
      <c r="B1598" s="39"/>
      <c r="C1598" s="32"/>
      <c r="D1598" s="32"/>
      <c r="G1598" s="23"/>
    </row>
    <row r="1599" spans="1:7">
      <c r="A1599" s="38"/>
      <c r="B1599" s="39"/>
      <c r="C1599" s="32"/>
      <c r="D1599" s="32"/>
      <c r="G1599" s="23"/>
    </row>
    <row r="1600" spans="1:7">
      <c r="A1600" s="38"/>
      <c r="B1600" s="39"/>
      <c r="C1600" s="32"/>
      <c r="D1600" s="32"/>
      <c r="G1600" s="23"/>
    </row>
    <row r="1601" spans="1:7">
      <c r="A1601" s="38"/>
      <c r="B1601" s="39"/>
      <c r="C1601" s="32"/>
      <c r="D1601" s="32"/>
      <c r="G1601" s="23"/>
    </row>
    <row r="1602" spans="1:7">
      <c r="A1602" s="38"/>
      <c r="B1602" s="39"/>
      <c r="C1602" s="32"/>
      <c r="D1602" s="32"/>
      <c r="G1602" s="23"/>
    </row>
    <row r="1603" spans="1:7">
      <c r="A1603" s="38"/>
      <c r="B1603" s="39"/>
      <c r="C1603" s="32"/>
      <c r="D1603" s="32"/>
      <c r="G1603" s="23"/>
    </row>
    <row r="1604" spans="1:7">
      <c r="A1604" s="38"/>
      <c r="B1604" s="39"/>
      <c r="C1604" s="32"/>
      <c r="D1604" s="32"/>
      <c r="G1604" s="23"/>
    </row>
    <row r="1605" spans="1:7">
      <c r="A1605" s="38"/>
      <c r="B1605" s="39"/>
      <c r="C1605" s="32"/>
      <c r="D1605" s="32"/>
      <c r="G1605" s="23"/>
    </row>
    <row r="1606" spans="1:7">
      <c r="A1606" s="38"/>
      <c r="B1606" s="39"/>
      <c r="C1606" s="32"/>
      <c r="D1606" s="32"/>
      <c r="G1606" s="23"/>
    </row>
    <row r="1607" spans="1:7">
      <c r="A1607" s="38"/>
      <c r="B1607" s="39"/>
      <c r="C1607" s="32"/>
      <c r="D1607" s="32"/>
      <c r="G1607" s="23"/>
    </row>
    <row r="1608" spans="1:7">
      <c r="A1608" s="38"/>
      <c r="B1608" s="39"/>
      <c r="C1608" s="32"/>
      <c r="D1608" s="32"/>
      <c r="G1608" s="23"/>
    </row>
    <row r="1609" spans="1:7">
      <c r="A1609" s="38"/>
      <c r="B1609" s="39"/>
      <c r="C1609" s="32"/>
      <c r="D1609" s="32"/>
      <c r="G1609" s="23"/>
    </row>
    <row r="1610" spans="1:7">
      <c r="A1610" s="38"/>
      <c r="B1610" s="39"/>
      <c r="C1610" s="32"/>
      <c r="D1610" s="32"/>
      <c r="G1610" s="23"/>
    </row>
    <row r="1611" spans="1:7">
      <c r="A1611" s="38"/>
      <c r="B1611" s="39"/>
      <c r="C1611" s="32"/>
      <c r="D1611" s="32"/>
      <c r="G1611" s="23"/>
    </row>
    <row r="1612" spans="1:7">
      <c r="A1612" s="38"/>
      <c r="B1612" s="39"/>
      <c r="C1612" s="32"/>
      <c r="D1612" s="32"/>
      <c r="G1612" s="23"/>
    </row>
    <row r="1613" spans="1:7">
      <c r="A1613" s="38"/>
      <c r="B1613" s="39"/>
      <c r="C1613" s="32"/>
      <c r="D1613" s="32"/>
      <c r="G1613" s="23"/>
    </row>
    <row r="1614" spans="1:7">
      <c r="A1614" s="38"/>
      <c r="B1614" s="39"/>
      <c r="C1614" s="32"/>
      <c r="D1614" s="32"/>
      <c r="G1614" s="23"/>
    </row>
    <row r="1615" spans="1:7">
      <c r="A1615" s="38"/>
      <c r="B1615" s="39"/>
      <c r="C1615" s="32"/>
      <c r="D1615" s="32"/>
      <c r="G1615" s="23"/>
    </row>
    <row r="1616" spans="1:7">
      <c r="A1616" s="38"/>
      <c r="B1616" s="39"/>
      <c r="C1616" s="32"/>
      <c r="D1616" s="32"/>
      <c r="G1616" s="23"/>
    </row>
    <row r="1617" spans="1:7">
      <c r="A1617" s="38"/>
      <c r="B1617" s="39"/>
      <c r="C1617" s="32"/>
      <c r="D1617" s="32"/>
      <c r="G1617" s="23"/>
    </row>
    <row r="1618" spans="1:7">
      <c r="A1618" s="38"/>
      <c r="B1618" s="39"/>
      <c r="C1618" s="32"/>
      <c r="D1618" s="32"/>
      <c r="G1618" s="23"/>
    </row>
    <row r="1619" spans="1:7">
      <c r="A1619" s="38"/>
      <c r="B1619" s="39"/>
      <c r="C1619" s="32"/>
      <c r="D1619" s="32"/>
      <c r="G1619" s="23"/>
    </row>
    <row r="1620" spans="1:7">
      <c r="A1620" s="38"/>
      <c r="B1620" s="39"/>
      <c r="C1620" s="32"/>
      <c r="D1620" s="32"/>
      <c r="G1620" s="23"/>
    </row>
    <row r="1621" spans="1:7">
      <c r="A1621" s="38"/>
      <c r="B1621" s="39"/>
      <c r="C1621" s="32"/>
      <c r="D1621" s="32"/>
      <c r="G1621" s="23"/>
    </row>
    <row r="1622" spans="1:7">
      <c r="A1622" s="38"/>
      <c r="B1622" s="39"/>
      <c r="C1622" s="32"/>
      <c r="D1622" s="32"/>
      <c r="G1622" s="23"/>
    </row>
    <row r="1623" spans="1:7">
      <c r="A1623" s="38"/>
      <c r="B1623" s="39"/>
      <c r="C1623" s="32"/>
      <c r="D1623" s="32"/>
      <c r="G1623" s="23"/>
    </row>
    <row r="1624" spans="1:7">
      <c r="A1624" s="38"/>
      <c r="B1624" s="39"/>
      <c r="C1624" s="32"/>
      <c r="D1624" s="32"/>
      <c r="G1624" s="23"/>
    </row>
    <row r="1625" spans="1:7">
      <c r="A1625" s="38"/>
      <c r="B1625" s="39"/>
      <c r="C1625" s="32"/>
      <c r="D1625" s="32"/>
      <c r="G1625" s="23"/>
    </row>
    <row r="1626" spans="1:7">
      <c r="A1626" s="38"/>
      <c r="B1626" s="39"/>
      <c r="C1626" s="32"/>
      <c r="D1626" s="32"/>
      <c r="G1626" s="23"/>
    </row>
    <row r="1627" spans="1:7">
      <c r="A1627" s="38"/>
      <c r="B1627" s="39"/>
      <c r="C1627" s="32"/>
      <c r="D1627" s="32"/>
      <c r="G1627" s="23"/>
    </row>
    <row r="1628" spans="1:7">
      <c r="A1628" s="38"/>
      <c r="B1628" s="39"/>
      <c r="C1628" s="32"/>
      <c r="D1628" s="32"/>
      <c r="G1628" s="23"/>
    </row>
    <row r="1629" spans="1:7">
      <c r="A1629" s="38"/>
      <c r="B1629" s="39"/>
      <c r="C1629" s="32"/>
      <c r="D1629" s="32"/>
      <c r="G1629" s="23"/>
    </row>
    <row r="1630" spans="1:7">
      <c r="A1630" s="38"/>
      <c r="B1630" s="39"/>
      <c r="C1630" s="32"/>
      <c r="D1630" s="32"/>
      <c r="G1630" s="23"/>
    </row>
    <row r="1631" spans="1:7">
      <c r="A1631" s="38"/>
      <c r="B1631" s="39"/>
      <c r="C1631" s="32"/>
      <c r="D1631" s="32"/>
      <c r="G1631" s="23"/>
    </row>
    <row r="1632" spans="1:7">
      <c r="A1632" s="38"/>
      <c r="B1632" s="39"/>
      <c r="C1632" s="32"/>
      <c r="D1632" s="32"/>
      <c r="G1632" s="23"/>
    </row>
    <row r="1633" spans="1:7">
      <c r="A1633" s="38"/>
      <c r="B1633" s="39"/>
      <c r="C1633" s="32"/>
      <c r="D1633" s="32"/>
      <c r="G1633" s="23"/>
    </row>
    <row r="1634" spans="1:7">
      <c r="A1634" s="38"/>
      <c r="B1634" s="39"/>
      <c r="C1634" s="32"/>
      <c r="D1634" s="32"/>
      <c r="G1634" s="23"/>
    </row>
    <row r="1635" spans="1:7">
      <c r="A1635" s="38"/>
      <c r="B1635" s="39"/>
      <c r="C1635" s="32"/>
      <c r="D1635" s="32"/>
      <c r="G1635" s="23"/>
    </row>
    <row r="1636" spans="1:7">
      <c r="A1636" s="38"/>
      <c r="B1636" s="39"/>
      <c r="C1636" s="32"/>
      <c r="D1636" s="32"/>
      <c r="G1636" s="23"/>
    </row>
    <row r="1637" spans="1:7">
      <c r="A1637" s="38"/>
      <c r="B1637" s="39"/>
      <c r="C1637" s="32"/>
      <c r="D1637" s="32"/>
      <c r="G1637" s="23"/>
    </row>
    <row r="1638" spans="1:7">
      <c r="A1638" s="38"/>
      <c r="B1638" s="39"/>
      <c r="C1638" s="32"/>
      <c r="D1638" s="32"/>
      <c r="G1638" s="23"/>
    </row>
    <row r="1639" spans="1:7">
      <c r="A1639" s="38"/>
      <c r="B1639" s="39"/>
      <c r="C1639" s="32"/>
      <c r="D1639" s="32"/>
      <c r="G1639" s="23"/>
    </row>
    <row r="1640" spans="1:7">
      <c r="A1640" s="38"/>
      <c r="B1640" s="39"/>
      <c r="C1640" s="32"/>
      <c r="D1640" s="32"/>
      <c r="G1640" s="23"/>
    </row>
    <row r="1641" spans="1:7">
      <c r="A1641" s="38"/>
      <c r="B1641" s="39"/>
      <c r="C1641" s="32"/>
      <c r="D1641" s="32"/>
      <c r="G1641" s="23"/>
    </row>
    <row r="1642" spans="1:7">
      <c r="A1642" s="38"/>
      <c r="B1642" s="39"/>
      <c r="C1642" s="32"/>
      <c r="D1642" s="32"/>
      <c r="G1642" s="23"/>
    </row>
    <row r="1643" spans="1:7">
      <c r="A1643" s="38"/>
      <c r="B1643" s="39"/>
      <c r="C1643" s="32"/>
      <c r="D1643" s="32"/>
      <c r="G1643" s="23"/>
    </row>
    <row r="1644" spans="1:7">
      <c r="A1644" s="38"/>
      <c r="B1644" s="39"/>
      <c r="C1644" s="32"/>
      <c r="D1644" s="32"/>
      <c r="G1644" s="23"/>
    </row>
    <row r="1645" spans="1:7">
      <c r="A1645" s="38"/>
      <c r="B1645" s="39"/>
      <c r="C1645" s="32"/>
      <c r="D1645" s="32"/>
      <c r="G1645" s="23"/>
    </row>
    <row r="1646" spans="1:7">
      <c r="A1646" s="38"/>
      <c r="B1646" s="39"/>
      <c r="C1646" s="32"/>
      <c r="D1646" s="32"/>
      <c r="G1646" s="23"/>
    </row>
    <row r="1647" spans="1:7">
      <c r="A1647" s="38"/>
      <c r="B1647" s="39"/>
      <c r="C1647" s="32"/>
      <c r="D1647" s="32"/>
      <c r="G1647" s="23"/>
    </row>
    <row r="1648" spans="1:7">
      <c r="A1648" s="38"/>
      <c r="B1648" s="39"/>
      <c r="C1648" s="32"/>
      <c r="D1648" s="32"/>
      <c r="G1648" s="23"/>
    </row>
    <row r="1649" spans="1:7">
      <c r="A1649" s="38"/>
      <c r="B1649" s="39"/>
      <c r="C1649" s="32"/>
      <c r="D1649" s="32"/>
      <c r="G1649" s="23"/>
    </row>
    <row r="1650" spans="1:7">
      <c r="A1650" s="38"/>
      <c r="B1650" s="39"/>
      <c r="C1650" s="32"/>
      <c r="D1650" s="32"/>
      <c r="G1650" s="23"/>
    </row>
    <row r="1651" spans="1:7">
      <c r="A1651" s="38"/>
      <c r="B1651" s="39"/>
      <c r="C1651" s="32"/>
      <c r="D1651" s="32"/>
      <c r="G1651" s="23"/>
    </row>
    <row r="1652" spans="1:7">
      <c r="A1652" s="38"/>
      <c r="B1652" s="39"/>
      <c r="C1652" s="32"/>
      <c r="D1652" s="32"/>
      <c r="G1652" s="23"/>
    </row>
    <row r="1653" spans="1:7">
      <c r="A1653" s="38"/>
      <c r="B1653" s="39"/>
      <c r="C1653" s="32"/>
      <c r="D1653" s="32"/>
      <c r="G1653" s="23"/>
    </row>
    <row r="1654" spans="1:7">
      <c r="A1654" s="38"/>
      <c r="B1654" s="39"/>
      <c r="C1654" s="32"/>
      <c r="D1654" s="32"/>
      <c r="G1654" s="23"/>
    </row>
    <row r="1655" spans="1:7">
      <c r="A1655" s="38"/>
      <c r="B1655" s="39"/>
      <c r="C1655" s="32"/>
      <c r="D1655" s="32"/>
      <c r="G1655" s="23"/>
    </row>
    <row r="1656" spans="1:7">
      <c r="A1656" s="38"/>
      <c r="B1656" s="39"/>
      <c r="C1656" s="32"/>
      <c r="D1656" s="32"/>
      <c r="G1656" s="23"/>
    </row>
    <row r="1657" spans="1:7">
      <c r="A1657" s="38"/>
      <c r="B1657" s="39"/>
      <c r="C1657" s="32"/>
      <c r="D1657" s="32"/>
      <c r="G1657" s="23"/>
    </row>
    <row r="1658" spans="1:7">
      <c r="A1658" s="38"/>
      <c r="B1658" s="39"/>
      <c r="C1658" s="32"/>
      <c r="D1658" s="32"/>
      <c r="G1658" s="23"/>
    </row>
    <row r="1659" spans="1:7">
      <c r="A1659" s="38"/>
      <c r="B1659" s="39"/>
      <c r="C1659" s="32"/>
      <c r="D1659" s="32"/>
      <c r="G1659" s="23"/>
    </row>
    <row r="1660" spans="1:7">
      <c r="A1660" s="38"/>
      <c r="B1660" s="39"/>
      <c r="C1660" s="32"/>
      <c r="D1660" s="32"/>
      <c r="G1660" s="23"/>
    </row>
    <row r="1661" spans="1:7">
      <c r="A1661" s="38"/>
      <c r="B1661" s="39"/>
      <c r="C1661" s="32"/>
      <c r="D1661" s="32"/>
      <c r="G1661" s="23"/>
    </row>
    <row r="1662" spans="1:7">
      <c r="A1662" s="38"/>
      <c r="B1662" s="39"/>
      <c r="C1662" s="32"/>
      <c r="D1662" s="32"/>
      <c r="G1662" s="23"/>
    </row>
    <row r="1663" spans="1:7">
      <c r="A1663" s="38"/>
      <c r="B1663" s="39"/>
      <c r="C1663" s="32"/>
      <c r="D1663" s="32"/>
      <c r="G1663" s="23"/>
    </row>
    <row r="1664" spans="1:7">
      <c r="A1664" s="38"/>
      <c r="B1664" s="39"/>
      <c r="C1664" s="32"/>
      <c r="D1664" s="32"/>
      <c r="G1664" s="23"/>
    </row>
    <row r="1665" spans="1:7">
      <c r="A1665" s="38"/>
      <c r="B1665" s="39"/>
      <c r="C1665" s="32"/>
      <c r="D1665" s="32"/>
      <c r="G1665" s="23"/>
    </row>
    <row r="1666" spans="1:7">
      <c r="A1666" s="38"/>
      <c r="B1666" s="39"/>
      <c r="C1666" s="32"/>
      <c r="D1666" s="32"/>
      <c r="G1666" s="23"/>
    </row>
    <row r="1667" spans="1:7">
      <c r="A1667" s="38"/>
      <c r="B1667" s="39"/>
      <c r="C1667" s="32"/>
      <c r="D1667" s="32"/>
      <c r="G1667" s="23"/>
    </row>
    <row r="1668" spans="1:7">
      <c r="A1668" s="38"/>
      <c r="B1668" s="39"/>
      <c r="C1668" s="32"/>
      <c r="D1668" s="32"/>
      <c r="G1668" s="23"/>
    </row>
    <row r="1669" spans="1:7">
      <c r="A1669" s="38"/>
      <c r="B1669" s="39"/>
      <c r="C1669" s="32"/>
      <c r="D1669" s="32"/>
      <c r="G1669" s="23"/>
    </row>
    <row r="1670" spans="1:7">
      <c r="A1670" s="38"/>
      <c r="B1670" s="39"/>
      <c r="C1670" s="32"/>
      <c r="D1670" s="32"/>
      <c r="G1670" s="23"/>
    </row>
    <row r="1671" spans="1:7">
      <c r="A1671" s="38"/>
      <c r="B1671" s="39"/>
      <c r="C1671" s="32"/>
      <c r="D1671" s="32"/>
      <c r="G1671" s="23"/>
    </row>
    <row r="1672" spans="1:7">
      <c r="A1672" s="38"/>
      <c r="B1672" s="39"/>
      <c r="C1672" s="32"/>
      <c r="D1672" s="32"/>
      <c r="G1672" s="23"/>
    </row>
    <row r="1673" spans="1:7">
      <c r="A1673" s="38"/>
      <c r="B1673" s="39"/>
      <c r="C1673" s="32"/>
      <c r="D1673" s="32"/>
      <c r="G1673" s="23"/>
    </row>
    <row r="1674" spans="1:7">
      <c r="A1674" s="38"/>
      <c r="B1674" s="39"/>
      <c r="C1674" s="32"/>
      <c r="D1674" s="32"/>
      <c r="G1674" s="23"/>
    </row>
    <row r="1675" spans="1:7">
      <c r="A1675" s="38"/>
      <c r="B1675" s="39"/>
      <c r="C1675" s="32"/>
      <c r="D1675" s="32"/>
      <c r="G1675" s="23"/>
    </row>
    <row r="1676" spans="1:7">
      <c r="A1676" s="38"/>
      <c r="B1676" s="39"/>
      <c r="C1676" s="32"/>
      <c r="D1676" s="32"/>
      <c r="G1676" s="23"/>
    </row>
    <row r="1677" spans="1:7">
      <c r="A1677" s="38"/>
      <c r="B1677" s="39"/>
      <c r="C1677" s="32"/>
      <c r="D1677" s="32"/>
      <c r="G1677" s="23"/>
    </row>
    <row r="1678" spans="1:7">
      <c r="A1678" s="38"/>
      <c r="B1678" s="39"/>
      <c r="C1678" s="32"/>
      <c r="D1678" s="32"/>
      <c r="G1678" s="23"/>
    </row>
    <row r="1679" spans="1:7">
      <c r="A1679" s="38"/>
      <c r="B1679" s="39"/>
      <c r="C1679" s="32"/>
      <c r="D1679" s="32"/>
      <c r="G1679" s="23"/>
    </row>
    <row r="1680" spans="1:7">
      <c r="A1680" s="38"/>
      <c r="B1680" s="39"/>
      <c r="C1680" s="32"/>
      <c r="D1680" s="32"/>
      <c r="G1680" s="23"/>
    </row>
    <row r="1681" spans="1:7">
      <c r="A1681" s="38"/>
      <c r="B1681" s="39"/>
      <c r="C1681" s="32"/>
      <c r="D1681" s="32"/>
      <c r="G1681" s="23"/>
    </row>
    <row r="1682" spans="1:7">
      <c r="A1682" s="38"/>
      <c r="B1682" s="39"/>
      <c r="C1682" s="32"/>
      <c r="D1682" s="32"/>
      <c r="G1682" s="23"/>
    </row>
    <row r="1683" spans="1:7">
      <c r="A1683" s="38"/>
      <c r="B1683" s="39"/>
      <c r="C1683" s="32"/>
      <c r="D1683" s="32"/>
      <c r="G1683" s="23"/>
    </row>
    <row r="1684" spans="1:7">
      <c r="A1684" s="38"/>
      <c r="B1684" s="39"/>
      <c r="C1684" s="32"/>
      <c r="D1684" s="32"/>
      <c r="G1684" s="23"/>
    </row>
    <row r="1685" spans="1:7">
      <c r="A1685" s="38"/>
      <c r="B1685" s="39"/>
      <c r="C1685" s="32"/>
      <c r="D1685" s="32"/>
      <c r="G1685" s="23"/>
    </row>
    <row r="1686" spans="1:7">
      <c r="A1686" s="38"/>
      <c r="B1686" s="39"/>
      <c r="C1686" s="32"/>
      <c r="D1686" s="32"/>
      <c r="G1686" s="23"/>
    </row>
    <row r="1687" spans="1:7">
      <c r="A1687" s="38"/>
      <c r="B1687" s="39"/>
      <c r="C1687" s="32"/>
      <c r="D1687" s="32"/>
      <c r="G1687" s="23"/>
    </row>
    <row r="1688" spans="1:7">
      <c r="A1688" s="38"/>
      <c r="B1688" s="39"/>
      <c r="C1688" s="32"/>
      <c r="D1688" s="32"/>
      <c r="G1688" s="23"/>
    </row>
    <row r="1689" spans="1:7">
      <c r="A1689" s="38"/>
      <c r="B1689" s="39"/>
      <c r="C1689" s="32"/>
      <c r="D1689" s="32"/>
      <c r="G1689" s="23"/>
    </row>
    <row r="1690" spans="1:7">
      <c r="A1690" s="38"/>
      <c r="B1690" s="39"/>
      <c r="C1690" s="32"/>
      <c r="D1690" s="32"/>
      <c r="G1690" s="23"/>
    </row>
    <row r="1691" spans="1:7">
      <c r="A1691" s="38"/>
      <c r="B1691" s="39"/>
      <c r="C1691" s="32"/>
      <c r="D1691" s="32"/>
      <c r="G1691" s="23"/>
    </row>
    <row r="1692" spans="1:7">
      <c r="A1692" s="38"/>
      <c r="B1692" s="39"/>
      <c r="C1692" s="32"/>
      <c r="D1692" s="32"/>
      <c r="G1692" s="23"/>
    </row>
    <row r="1693" spans="1:7">
      <c r="A1693" s="38"/>
      <c r="B1693" s="39"/>
      <c r="C1693" s="32"/>
      <c r="D1693" s="32"/>
      <c r="G1693" s="23"/>
    </row>
    <row r="1694" spans="1:7">
      <c r="A1694" s="38"/>
      <c r="B1694" s="39"/>
      <c r="C1694" s="32"/>
      <c r="D1694" s="32"/>
      <c r="G1694" s="23"/>
    </row>
    <row r="1695" spans="1:7">
      <c r="A1695" s="38"/>
      <c r="B1695" s="39"/>
      <c r="C1695" s="32"/>
      <c r="D1695" s="32"/>
      <c r="G1695" s="23"/>
    </row>
    <row r="1696" spans="1:7">
      <c r="A1696" s="38"/>
      <c r="B1696" s="39"/>
      <c r="C1696" s="32"/>
      <c r="D1696" s="32"/>
      <c r="G1696" s="23"/>
    </row>
    <row r="1697" spans="1:7">
      <c r="A1697" s="38"/>
      <c r="B1697" s="39"/>
      <c r="C1697" s="32"/>
      <c r="D1697" s="32"/>
      <c r="G1697" s="23"/>
    </row>
    <row r="1698" spans="1:7">
      <c r="A1698" s="38"/>
      <c r="B1698" s="39"/>
      <c r="C1698" s="32"/>
      <c r="D1698" s="32"/>
      <c r="G1698" s="23"/>
    </row>
    <row r="1699" spans="1:7">
      <c r="A1699" s="38"/>
      <c r="B1699" s="39"/>
      <c r="C1699" s="32"/>
      <c r="D1699" s="32"/>
      <c r="G1699" s="23"/>
    </row>
    <row r="1700" spans="1:7">
      <c r="A1700" s="38"/>
      <c r="B1700" s="39"/>
      <c r="C1700" s="32"/>
      <c r="D1700" s="32"/>
      <c r="G1700" s="23"/>
    </row>
    <row r="1701" spans="1:7">
      <c r="A1701" s="38"/>
      <c r="B1701" s="39"/>
      <c r="C1701" s="32"/>
      <c r="D1701" s="32"/>
      <c r="G1701" s="23"/>
    </row>
    <row r="1702" spans="1:7">
      <c r="A1702" s="38"/>
      <c r="B1702" s="39"/>
      <c r="C1702" s="32"/>
      <c r="D1702" s="32"/>
      <c r="G1702" s="23"/>
    </row>
    <row r="1703" spans="1:7">
      <c r="A1703" s="38"/>
      <c r="B1703" s="39"/>
      <c r="C1703" s="32"/>
      <c r="D1703" s="32"/>
      <c r="G1703" s="23"/>
    </row>
    <row r="1704" spans="1:7">
      <c r="A1704" s="38"/>
      <c r="B1704" s="39"/>
      <c r="C1704" s="32"/>
      <c r="D1704" s="32"/>
      <c r="G1704" s="23"/>
    </row>
    <row r="1705" spans="1:7">
      <c r="A1705" s="38"/>
      <c r="B1705" s="39"/>
      <c r="C1705" s="32"/>
      <c r="D1705" s="32"/>
      <c r="G1705" s="23"/>
    </row>
    <row r="1706" spans="1:7">
      <c r="A1706" s="38"/>
      <c r="B1706" s="39"/>
      <c r="C1706" s="32"/>
      <c r="D1706" s="32"/>
      <c r="G1706" s="23"/>
    </row>
    <row r="1707" spans="1:7">
      <c r="A1707" s="38"/>
      <c r="B1707" s="39"/>
      <c r="C1707" s="32"/>
      <c r="D1707" s="32"/>
      <c r="G1707" s="23"/>
    </row>
    <row r="1708" spans="1:7">
      <c r="A1708" s="38"/>
      <c r="B1708" s="39"/>
      <c r="C1708" s="32"/>
      <c r="D1708" s="32"/>
      <c r="G1708" s="23"/>
    </row>
    <row r="1709" spans="1:7">
      <c r="A1709" s="38"/>
      <c r="B1709" s="39"/>
      <c r="C1709" s="32"/>
      <c r="D1709" s="32"/>
      <c r="G1709" s="23"/>
    </row>
    <row r="1710" spans="1:7">
      <c r="A1710" s="38"/>
      <c r="B1710" s="39"/>
      <c r="C1710" s="32"/>
      <c r="D1710" s="32"/>
      <c r="G1710" s="23"/>
    </row>
    <row r="1711" spans="1:7">
      <c r="A1711" s="38"/>
      <c r="B1711" s="39"/>
      <c r="C1711" s="32"/>
      <c r="D1711" s="32"/>
      <c r="G1711" s="23"/>
    </row>
    <row r="1712" spans="1:7">
      <c r="A1712" s="38"/>
      <c r="B1712" s="39"/>
      <c r="C1712" s="32"/>
      <c r="D1712" s="32"/>
      <c r="G1712" s="23"/>
    </row>
    <row r="1713" spans="1:7">
      <c r="A1713" s="38"/>
      <c r="B1713" s="39"/>
      <c r="C1713" s="32"/>
      <c r="D1713" s="32"/>
      <c r="G1713" s="23"/>
    </row>
    <row r="1714" spans="1:7">
      <c r="A1714" s="38"/>
      <c r="B1714" s="39"/>
      <c r="C1714" s="32"/>
      <c r="D1714" s="32"/>
      <c r="G1714" s="23"/>
    </row>
    <row r="1715" spans="1:7">
      <c r="A1715" s="38"/>
      <c r="B1715" s="39"/>
      <c r="C1715" s="32"/>
      <c r="D1715" s="32"/>
      <c r="G1715" s="23"/>
    </row>
    <row r="1716" spans="1:7">
      <c r="A1716" s="38"/>
      <c r="B1716" s="39"/>
      <c r="C1716" s="32"/>
      <c r="D1716" s="32"/>
      <c r="G1716" s="23"/>
    </row>
    <row r="1717" spans="1:7">
      <c r="A1717" s="38"/>
      <c r="B1717" s="39"/>
      <c r="C1717" s="32"/>
      <c r="D1717" s="32"/>
      <c r="G1717" s="23"/>
    </row>
    <row r="1718" spans="1:7">
      <c r="A1718" s="38"/>
      <c r="B1718" s="39"/>
      <c r="C1718" s="32"/>
      <c r="D1718" s="32"/>
      <c r="G1718" s="23"/>
    </row>
    <row r="1719" spans="1:7">
      <c r="A1719" s="38"/>
      <c r="B1719" s="39"/>
      <c r="C1719" s="32"/>
      <c r="D1719" s="32"/>
      <c r="G1719" s="23"/>
    </row>
    <row r="1720" spans="1:7">
      <c r="A1720" s="38"/>
      <c r="B1720" s="39"/>
      <c r="C1720" s="32"/>
      <c r="D1720" s="32"/>
      <c r="G1720" s="23"/>
    </row>
    <row r="1721" spans="1:7">
      <c r="A1721" s="38"/>
      <c r="B1721" s="39"/>
      <c r="C1721" s="32"/>
      <c r="D1721" s="32"/>
      <c r="G1721" s="23"/>
    </row>
    <row r="1722" spans="1:7">
      <c r="A1722" s="38"/>
      <c r="B1722" s="39"/>
      <c r="C1722" s="32"/>
      <c r="D1722" s="32"/>
      <c r="G1722" s="23"/>
    </row>
    <row r="1723" spans="1:7">
      <c r="A1723" s="38"/>
      <c r="B1723" s="39"/>
      <c r="C1723" s="32"/>
      <c r="D1723" s="32"/>
      <c r="G1723" s="23"/>
    </row>
    <row r="1724" spans="1:7">
      <c r="A1724" s="38"/>
      <c r="B1724" s="39"/>
      <c r="C1724" s="32"/>
      <c r="D1724" s="32"/>
      <c r="G1724" s="23"/>
    </row>
    <row r="1725" spans="1:7">
      <c r="A1725" s="38"/>
      <c r="B1725" s="39"/>
      <c r="C1725" s="32"/>
      <c r="D1725" s="32"/>
      <c r="G1725" s="23"/>
    </row>
    <row r="1726" spans="1:7">
      <c r="A1726" s="38"/>
      <c r="B1726" s="39"/>
      <c r="C1726" s="32"/>
      <c r="D1726" s="32"/>
      <c r="G1726" s="23"/>
    </row>
    <row r="1727" spans="1:7">
      <c r="A1727" s="38"/>
      <c r="B1727" s="39"/>
      <c r="C1727" s="32"/>
      <c r="D1727" s="32"/>
      <c r="G1727" s="23"/>
    </row>
    <row r="1728" spans="1:7">
      <c r="A1728" s="38"/>
      <c r="B1728" s="39"/>
      <c r="C1728" s="32"/>
      <c r="D1728" s="32"/>
      <c r="G1728" s="23"/>
    </row>
    <row r="1729" spans="1:7">
      <c r="A1729" s="38"/>
      <c r="B1729" s="39"/>
      <c r="C1729" s="32"/>
      <c r="D1729" s="32"/>
      <c r="G1729" s="23"/>
    </row>
    <row r="1730" spans="1:7">
      <c r="A1730" s="38"/>
      <c r="B1730" s="39"/>
      <c r="C1730" s="32"/>
      <c r="D1730" s="32"/>
      <c r="G1730" s="23"/>
    </row>
    <row r="1731" spans="1:7">
      <c r="A1731" s="38"/>
      <c r="B1731" s="39"/>
      <c r="C1731" s="32"/>
      <c r="D1731" s="32"/>
      <c r="G1731" s="23"/>
    </row>
    <row r="1732" spans="1:7">
      <c r="A1732" s="38"/>
      <c r="B1732" s="39"/>
      <c r="C1732" s="32"/>
      <c r="D1732" s="32"/>
      <c r="G1732" s="23"/>
    </row>
    <row r="1733" spans="1:7">
      <c r="A1733" s="38"/>
      <c r="B1733" s="39"/>
      <c r="C1733" s="32"/>
      <c r="D1733" s="32"/>
      <c r="G1733" s="23"/>
    </row>
    <row r="1734" spans="1:7">
      <c r="A1734" s="38"/>
      <c r="B1734" s="39"/>
      <c r="C1734" s="32"/>
      <c r="D1734" s="32"/>
      <c r="G1734" s="23"/>
    </row>
    <row r="1735" spans="1:7">
      <c r="A1735" s="38"/>
      <c r="B1735" s="39"/>
      <c r="C1735" s="32"/>
      <c r="D1735" s="32"/>
      <c r="G1735" s="23"/>
    </row>
    <row r="1736" spans="1:7">
      <c r="A1736" s="38"/>
      <c r="B1736" s="39"/>
      <c r="C1736" s="32"/>
      <c r="D1736" s="32"/>
      <c r="G1736" s="23"/>
    </row>
    <row r="1737" spans="1:7">
      <c r="A1737" s="38"/>
      <c r="B1737" s="39"/>
      <c r="C1737" s="32"/>
      <c r="D1737" s="32"/>
      <c r="G1737" s="23"/>
    </row>
    <row r="1738" spans="1:7">
      <c r="A1738" s="38"/>
      <c r="B1738" s="39"/>
      <c r="C1738" s="32"/>
      <c r="D1738" s="32"/>
      <c r="G1738" s="23"/>
    </row>
    <row r="1739" spans="1:7">
      <c r="A1739" s="38"/>
      <c r="B1739" s="39"/>
      <c r="C1739" s="32"/>
      <c r="D1739" s="32"/>
      <c r="G1739" s="23"/>
    </row>
    <row r="1740" spans="1:7">
      <c r="A1740" s="38"/>
      <c r="B1740" s="39"/>
      <c r="C1740" s="32"/>
      <c r="D1740" s="32"/>
      <c r="G1740" s="23"/>
    </row>
    <row r="1741" spans="1:7">
      <c r="A1741" s="38"/>
      <c r="B1741" s="39"/>
      <c r="C1741" s="32"/>
      <c r="D1741" s="32"/>
      <c r="G1741" s="23"/>
    </row>
    <row r="1742" spans="1:7">
      <c r="A1742" s="38"/>
      <c r="B1742" s="39"/>
      <c r="C1742" s="32"/>
      <c r="D1742" s="32"/>
      <c r="G1742" s="23"/>
    </row>
    <row r="1743" spans="1:7">
      <c r="A1743" s="38"/>
      <c r="B1743" s="39"/>
      <c r="C1743" s="32"/>
      <c r="D1743" s="32"/>
      <c r="G1743" s="23"/>
    </row>
    <row r="1744" spans="1:7">
      <c r="A1744" s="38"/>
      <c r="B1744" s="39"/>
      <c r="C1744" s="32"/>
      <c r="D1744" s="32"/>
      <c r="G1744" s="23"/>
    </row>
    <row r="1745" spans="1:7">
      <c r="A1745" s="38"/>
      <c r="B1745" s="39"/>
      <c r="C1745" s="32"/>
      <c r="D1745" s="32"/>
      <c r="G1745" s="23"/>
    </row>
    <row r="1746" spans="1:7">
      <c r="A1746" s="38"/>
      <c r="B1746" s="39"/>
      <c r="C1746" s="32"/>
      <c r="D1746" s="32"/>
      <c r="G1746" s="23"/>
    </row>
    <row r="1747" spans="1:7">
      <c r="A1747" s="38"/>
      <c r="B1747" s="39"/>
      <c r="C1747" s="32"/>
      <c r="D1747" s="32"/>
      <c r="G1747" s="23"/>
    </row>
    <row r="1748" spans="1:7">
      <c r="A1748" s="38"/>
      <c r="B1748" s="39"/>
      <c r="C1748" s="32"/>
      <c r="D1748" s="32"/>
      <c r="G1748" s="23"/>
    </row>
    <row r="1749" spans="1:7">
      <c r="A1749" s="38"/>
      <c r="B1749" s="39"/>
      <c r="C1749" s="32"/>
      <c r="D1749" s="32"/>
      <c r="G1749" s="23"/>
    </row>
    <row r="1750" spans="1:7">
      <c r="A1750" s="38"/>
      <c r="B1750" s="39"/>
      <c r="C1750" s="32"/>
      <c r="D1750" s="32"/>
      <c r="G1750" s="23"/>
    </row>
    <row r="1751" spans="1:7">
      <c r="A1751" s="38"/>
      <c r="B1751" s="39"/>
      <c r="C1751" s="32"/>
      <c r="D1751" s="32"/>
      <c r="G1751" s="23"/>
    </row>
    <row r="1752" spans="1:7">
      <c r="A1752" s="38"/>
      <c r="B1752" s="39"/>
      <c r="C1752" s="32"/>
      <c r="D1752" s="32"/>
      <c r="G1752" s="23"/>
    </row>
    <row r="1753" spans="1:7">
      <c r="A1753" s="38"/>
      <c r="B1753" s="39"/>
      <c r="C1753" s="32"/>
      <c r="D1753" s="32"/>
      <c r="G1753" s="23"/>
    </row>
    <row r="1754" spans="1:7">
      <c r="A1754" s="38"/>
      <c r="B1754" s="39"/>
      <c r="C1754" s="32"/>
      <c r="D1754" s="32"/>
      <c r="G1754" s="23"/>
    </row>
    <row r="1755" spans="1:7">
      <c r="A1755" s="38"/>
      <c r="B1755" s="39"/>
      <c r="C1755" s="32"/>
      <c r="D1755" s="32"/>
      <c r="G1755" s="23"/>
    </row>
    <row r="1756" spans="1:7">
      <c r="A1756" s="38"/>
      <c r="B1756" s="39"/>
      <c r="C1756" s="32"/>
      <c r="D1756" s="32"/>
      <c r="G1756" s="23"/>
    </row>
    <row r="1757" spans="1:7">
      <c r="A1757" s="38"/>
      <c r="B1757" s="39"/>
      <c r="C1757" s="32"/>
      <c r="D1757" s="32"/>
      <c r="G1757" s="23"/>
    </row>
    <row r="1758" spans="1:7">
      <c r="A1758" s="38"/>
      <c r="B1758" s="39"/>
      <c r="C1758" s="32"/>
      <c r="D1758" s="32"/>
      <c r="G1758" s="23"/>
    </row>
    <row r="1759" spans="1:7">
      <c r="A1759" s="38"/>
      <c r="B1759" s="39"/>
      <c r="C1759" s="32"/>
      <c r="D1759" s="32"/>
      <c r="G1759" s="23"/>
    </row>
    <row r="1760" spans="1:7">
      <c r="A1760" s="38"/>
      <c r="B1760" s="39"/>
      <c r="C1760" s="32"/>
      <c r="D1760" s="32"/>
      <c r="G1760" s="23"/>
    </row>
    <row r="1761" spans="1:7">
      <c r="A1761" s="38"/>
      <c r="B1761" s="39"/>
      <c r="C1761" s="32"/>
      <c r="D1761" s="32"/>
      <c r="G1761" s="23"/>
    </row>
    <row r="1762" spans="1:7">
      <c r="A1762" s="38"/>
      <c r="B1762" s="39"/>
      <c r="C1762" s="32"/>
      <c r="D1762" s="32"/>
      <c r="G1762" s="23"/>
    </row>
    <row r="1763" spans="1:7">
      <c r="A1763" s="38"/>
      <c r="B1763" s="39"/>
      <c r="C1763" s="32"/>
      <c r="D1763" s="32"/>
      <c r="G1763" s="23"/>
    </row>
    <row r="1764" spans="1:7">
      <c r="A1764" s="38"/>
      <c r="B1764" s="39"/>
      <c r="C1764" s="32"/>
      <c r="D1764" s="32"/>
      <c r="G1764" s="23"/>
    </row>
    <row r="1765" spans="1:7">
      <c r="A1765" s="38"/>
      <c r="B1765" s="39"/>
      <c r="C1765" s="32"/>
      <c r="D1765" s="32"/>
      <c r="G1765" s="23"/>
    </row>
    <row r="1766" spans="1:7">
      <c r="A1766" s="38"/>
      <c r="B1766" s="39"/>
      <c r="C1766" s="32"/>
      <c r="D1766" s="32"/>
      <c r="G1766" s="23"/>
    </row>
    <row r="1767" spans="1:7">
      <c r="A1767" s="38"/>
      <c r="B1767" s="39"/>
      <c r="C1767" s="32"/>
      <c r="D1767" s="32"/>
      <c r="G1767" s="23"/>
    </row>
    <row r="1768" spans="1:7">
      <c r="A1768" s="38"/>
      <c r="B1768" s="39"/>
      <c r="C1768" s="32"/>
      <c r="D1768" s="32"/>
      <c r="G1768" s="23"/>
    </row>
    <row r="1769" spans="1:7">
      <c r="A1769" s="38"/>
      <c r="B1769" s="39"/>
      <c r="C1769" s="32"/>
      <c r="D1769" s="32"/>
      <c r="G1769" s="23"/>
    </row>
    <row r="1770" spans="1:7">
      <c r="A1770" s="38"/>
      <c r="B1770" s="39"/>
      <c r="C1770" s="32"/>
      <c r="D1770" s="32"/>
      <c r="G1770" s="23"/>
    </row>
    <row r="1771" spans="1:7">
      <c r="A1771" s="38"/>
      <c r="B1771" s="39"/>
      <c r="C1771" s="32"/>
      <c r="D1771" s="32"/>
      <c r="G1771" s="23"/>
    </row>
    <row r="1772" spans="1:7">
      <c r="A1772" s="38"/>
      <c r="B1772" s="39"/>
      <c r="C1772" s="32"/>
      <c r="D1772" s="32"/>
      <c r="G1772" s="23"/>
    </row>
    <row r="1773" spans="1:7">
      <c r="A1773" s="38"/>
      <c r="B1773" s="39"/>
      <c r="C1773" s="32"/>
      <c r="D1773" s="32"/>
      <c r="G1773" s="23"/>
    </row>
    <row r="1774" spans="1:7">
      <c r="A1774" s="38"/>
      <c r="B1774" s="39"/>
      <c r="C1774" s="32"/>
      <c r="D1774" s="32"/>
      <c r="G1774" s="23"/>
    </row>
    <row r="1775" spans="1:7">
      <c r="A1775" s="38"/>
      <c r="B1775" s="39"/>
      <c r="C1775" s="32"/>
      <c r="D1775" s="32"/>
      <c r="G1775" s="23"/>
    </row>
    <row r="1776" spans="1:7">
      <c r="A1776" s="38"/>
      <c r="B1776" s="39"/>
      <c r="C1776" s="32"/>
      <c r="D1776" s="32"/>
      <c r="G1776" s="23"/>
    </row>
    <row r="1777" spans="1:7">
      <c r="A1777" s="38"/>
      <c r="B1777" s="39"/>
      <c r="C1777" s="32"/>
      <c r="D1777" s="32"/>
      <c r="G1777" s="23"/>
    </row>
    <row r="1778" spans="1:7">
      <c r="A1778" s="38"/>
      <c r="B1778" s="39"/>
      <c r="C1778" s="32"/>
      <c r="D1778" s="32"/>
      <c r="G1778" s="23"/>
    </row>
    <row r="1779" spans="1:7">
      <c r="A1779" s="38"/>
      <c r="B1779" s="39"/>
      <c r="C1779" s="32"/>
      <c r="D1779" s="32"/>
      <c r="G1779" s="23"/>
    </row>
    <row r="1780" spans="1:7">
      <c r="A1780" s="38"/>
      <c r="B1780" s="39"/>
      <c r="C1780" s="32"/>
      <c r="D1780" s="32"/>
      <c r="G1780" s="23"/>
    </row>
    <row r="1781" spans="1:7">
      <c r="A1781" s="38"/>
      <c r="B1781" s="39"/>
      <c r="C1781" s="32"/>
      <c r="D1781" s="32"/>
      <c r="G1781" s="23"/>
    </row>
    <row r="1782" spans="1:7">
      <c r="A1782" s="38"/>
      <c r="B1782" s="39"/>
      <c r="C1782" s="32"/>
      <c r="D1782" s="32"/>
      <c r="G1782" s="23"/>
    </row>
    <row r="1783" spans="1:7">
      <c r="A1783" s="38"/>
      <c r="B1783" s="39"/>
      <c r="C1783" s="32"/>
      <c r="D1783" s="32"/>
      <c r="G1783" s="23"/>
    </row>
    <row r="1784" spans="1:7">
      <c r="A1784" s="38"/>
      <c r="B1784" s="39"/>
      <c r="C1784" s="32"/>
      <c r="D1784" s="32"/>
      <c r="G1784" s="23"/>
    </row>
    <row r="1785" spans="1:7">
      <c r="A1785" s="38"/>
      <c r="B1785" s="39"/>
      <c r="C1785" s="32"/>
      <c r="D1785" s="32"/>
      <c r="G1785" s="23"/>
    </row>
    <row r="1786" spans="1:7">
      <c r="A1786" s="38"/>
      <c r="B1786" s="39"/>
      <c r="C1786" s="32"/>
      <c r="D1786" s="32"/>
      <c r="G1786" s="23"/>
    </row>
    <row r="1787" spans="1:7">
      <c r="A1787" s="38"/>
      <c r="B1787" s="39"/>
      <c r="C1787" s="32"/>
      <c r="D1787" s="32"/>
      <c r="G1787" s="23"/>
    </row>
    <row r="1788" spans="1:7">
      <c r="A1788" s="38"/>
      <c r="B1788" s="39"/>
      <c r="C1788" s="32"/>
      <c r="D1788" s="32"/>
      <c r="G1788" s="23"/>
    </row>
    <row r="1789" spans="1:7">
      <c r="A1789" s="38"/>
      <c r="B1789" s="39"/>
      <c r="C1789" s="32"/>
      <c r="D1789" s="32"/>
      <c r="G1789" s="23"/>
    </row>
    <row r="1790" spans="1:7">
      <c r="A1790" s="38"/>
      <c r="B1790" s="39"/>
      <c r="C1790" s="32"/>
      <c r="D1790" s="32"/>
      <c r="G1790" s="23"/>
    </row>
    <row r="1791" spans="1:7">
      <c r="A1791" s="38"/>
      <c r="B1791" s="39"/>
      <c r="C1791" s="32"/>
      <c r="D1791" s="32"/>
      <c r="G1791" s="23"/>
    </row>
    <row r="1792" spans="1:7">
      <c r="A1792" s="38"/>
      <c r="B1792" s="39"/>
      <c r="C1792" s="32"/>
      <c r="D1792" s="32"/>
      <c r="G1792" s="23"/>
    </row>
    <row r="1793" spans="1:7">
      <c r="A1793" s="38"/>
      <c r="B1793" s="39"/>
      <c r="C1793" s="32"/>
      <c r="D1793" s="32"/>
      <c r="G1793" s="23"/>
    </row>
    <row r="1794" spans="1:7">
      <c r="A1794" s="38"/>
      <c r="B1794" s="39"/>
      <c r="C1794" s="32"/>
      <c r="D1794" s="32"/>
      <c r="G1794" s="23"/>
    </row>
    <row r="1795" spans="1:7">
      <c r="A1795" s="38"/>
      <c r="B1795" s="39"/>
      <c r="C1795" s="32"/>
      <c r="D1795" s="32"/>
      <c r="G1795" s="23"/>
    </row>
    <row r="1796" spans="1:7">
      <c r="A1796" s="38"/>
      <c r="B1796" s="39"/>
      <c r="C1796" s="32"/>
      <c r="D1796" s="32"/>
      <c r="G1796" s="23"/>
    </row>
    <row r="1797" spans="1:7">
      <c r="A1797" s="38"/>
      <c r="B1797" s="39"/>
      <c r="C1797" s="32"/>
      <c r="D1797" s="32"/>
      <c r="G1797" s="23"/>
    </row>
    <row r="1798" spans="1:7">
      <c r="A1798" s="38"/>
      <c r="B1798" s="39"/>
      <c r="C1798" s="32"/>
      <c r="D1798" s="32"/>
      <c r="G1798" s="23"/>
    </row>
    <row r="1799" spans="1:7">
      <c r="A1799" s="38"/>
      <c r="B1799" s="39"/>
      <c r="C1799" s="32"/>
      <c r="D1799" s="32"/>
      <c r="G1799" s="23"/>
    </row>
    <row r="1800" spans="1:7">
      <c r="A1800" s="38"/>
      <c r="B1800" s="39"/>
      <c r="C1800" s="32"/>
      <c r="D1800" s="32"/>
      <c r="G1800" s="23"/>
    </row>
    <row r="1801" spans="1:7">
      <c r="A1801" s="38"/>
      <c r="B1801" s="39"/>
      <c r="C1801" s="32"/>
      <c r="D1801" s="32"/>
      <c r="G1801" s="23"/>
    </row>
    <row r="1802" spans="1:7">
      <c r="A1802" s="38"/>
      <c r="B1802" s="39"/>
      <c r="C1802" s="32"/>
      <c r="D1802" s="32"/>
      <c r="G1802" s="23"/>
    </row>
    <row r="1803" spans="1:7">
      <c r="A1803" s="38"/>
      <c r="B1803" s="39"/>
      <c r="C1803" s="32"/>
      <c r="D1803" s="32"/>
      <c r="G1803" s="23"/>
    </row>
    <row r="1804" spans="1:7">
      <c r="A1804" s="38"/>
      <c r="B1804" s="39"/>
      <c r="C1804" s="32"/>
      <c r="D1804" s="32"/>
      <c r="G1804" s="23"/>
    </row>
    <row r="1805" spans="1:7">
      <c r="A1805" s="38"/>
      <c r="B1805" s="39"/>
      <c r="C1805" s="32"/>
      <c r="D1805" s="32"/>
      <c r="G1805" s="23"/>
    </row>
    <row r="1806" spans="1:7">
      <c r="A1806" s="38"/>
      <c r="B1806" s="39"/>
      <c r="C1806" s="32"/>
      <c r="D1806" s="32"/>
      <c r="G1806" s="23"/>
    </row>
    <row r="1807" spans="1:7">
      <c r="A1807" s="38"/>
      <c r="B1807" s="39"/>
      <c r="C1807" s="32"/>
      <c r="D1807" s="32"/>
      <c r="G1807" s="23"/>
    </row>
    <row r="1808" spans="1:7">
      <c r="A1808" s="38"/>
      <c r="B1808" s="39"/>
      <c r="C1808" s="32"/>
      <c r="D1808" s="32"/>
      <c r="G1808" s="23"/>
    </row>
    <row r="1809" spans="1:7">
      <c r="A1809" s="38"/>
      <c r="B1809" s="39"/>
      <c r="C1809" s="32"/>
      <c r="D1809" s="32"/>
      <c r="G1809" s="23"/>
    </row>
    <row r="1810" spans="1:7">
      <c r="A1810" s="38"/>
      <c r="B1810" s="39"/>
      <c r="C1810" s="32"/>
      <c r="D1810" s="32"/>
      <c r="G1810" s="23"/>
    </row>
    <row r="1811" spans="1:7">
      <c r="A1811" s="38"/>
      <c r="B1811" s="39"/>
      <c r="C1811" s="32"/>
      <c r="D1811" s="32"/>
      <c r="G1811" s="23"/>
    </row>
    <row r="1812" spans="1:7">
      <c r="A1812" s="38"/>
      <c r="B1812" s="39"/>
      <c r="C1812" s="32"/>
      <c r="D1812" s="32"/>
      <c r="G1812" s="23"/>
    </row>
    <row r="1813" spans="1:7">
      <c r="A1813" s="38"/>
      <c r="B1813" s="39"/>
      <c r="C1813" s="32"/>
      <c r="D1813" s="32"/>
      <c r="G1813" s="23"/>
    </row>
    <row r="1814" spans="1:7">
      <c r="A1814" s="38"/>
      <c r="B1814" s="39"/>
      <c r="C1814" s="32"/>
      <c r="D1814" s="32"/>
      <c r="G1814" s="23"/>
    </row>
    <row r="1815" spans="1:7">
      <c r="A1815" s="38"/>
      <c r="B1815" s="39"/>
      <c r="C1815" s="32"/>
      <c r="D1815" s="32"/>
      <c r="G1815" s="23"/>
    </row>
    <row r="1816" spans="1:7">
      <c r="A1816" s="38"/>
      <c r="B1816" s="39"/>
      <c r="C1816" s="32"/>
      <c r="D1816" s="32"/>
      <c r="G1816" s="23"/>
    </row>
    <row r="1817" spans="1:7">
      <c r="A1817" s="38"/>
      <c r="B1817" s="39"/>
      <c r="C1817" s="32"/>
      <c r="D1817" s="32"/>
      <c r="G1817" s="23"/>
    </row>
    <row r="1818" spans="1:7">
      <c r="A1818" s="38"/>
      <c r="B1818" s="39"/>
      <c r="C1818" s="32"/>
      <c r="D1818" s="32"/>
      <c r="G1818" s="23"/>
    </row>
    <row r="1819" spans="1:7">
      <c r="A1819" s="38"/>
      <c r="B1819" s="39"/>
      <c r="C1819" s="32"/>
      <c r="D1819" s="32"/>
      <c r="G1819" s="23"/>
    </row>
    <row r="1820" spans="1:7">
      <c r="A1820" s="38"/>
      <c r="B1820" s="39"/>
      <c r="C1820" s="32"/>
      <c r="D1820" s="32"/>
      <c r="G1820" s="23"/>
    </row>
    <row r="1821" spans="1:7">
      <c r="A1821" s="38"/>
      <c r="B1821" s="39"/>
      <c r="C1821" s="32"/>
      <c r="D1821" s="32"/>
      <c r="G1821" s="23"/>
    </row>
    <row r="1822" spans="1:7">
      <c r="A1822" s="38"/>
      <c r="B1822" s="39"/>
      <c r="C1822" s="32"/>
      <c r="D1822" s="32"/>
      <c r="G1822" s="23"/>
    </row>
    <row r="1823" spans="1:7">
      <c r="A1823" s="38"/>
      <c r="B1823" s="39"/>
      <c r="C1823" s="32"/>
      <c r="D1823" s="32"/>
      <c r="G1823" s="23"/>
    </row>
    <row r="1824" spans="1:7">
      <c r="A1824" s="38"/>
      <c r="B1824" s="39"/>
      <c r="C1824" s="32"/>
      <c r="D1824" s="32"/>
      <c r="G1824" s="23"/>
    </row>
    <row r="1825" spans="1:7">
      <c r="A1825" s="38"/>
      <c r="B1825" s="39"/>
      <c r="C1825" s="32"/>
      <c r="D1825" s="32"/>
      <c r="G1825" s="23"/>
    </row>
    <row r="1826" spans="1:7">
      <c r="A1826" s="38"/>
      <c r="B1826" s="39"/>
      <c r="C1826" s="32"/>
      <c r="D1826" s="32"/>
      <c r="G1826" s="23"/>
    </row>
    <row r="1827" spans="1:7">
      <c r="A1827" s="38"/>
      <c r="B1827" s="39"/>
      <c r="C1827" s="32"/>
      <c r="D1827" s="32"/>
      <c r="G1827" s="23"/>
    </row>
    <row r="1828" spans="1:7">
      <c r="A1828" s="38"/>
      <c r="B1828" s="39"/>
      <c r="C1828" s="32"/>
      <c r="D1828" s="32"/>
      <c r="G1828" s="23"/>
    </row>
    <row r="1829" spans="1:7">
      <c r="A1829" s="38"/>
      <c r="B1829" s="39"/>
      <c r="C1829" s="32"/>
      <c r="D1829" s="32"/>
      <c r="G1829" s="23"/>
    </row>
    <row r="1830" spans="1:7">
      <c r="A1830" s="38"/>
      <c r="B1830" s="39"/>
      <c r="C1830" s="32"/>
      <c r="D1830" s="32"/>
      <c r="G1830" s="23"/>
    </row>
    <row r="1831" spans="1:7">
      <c r="A1831" s="38"/>
      <c r="B1831" s="39"/>
      <c r="C1831" s="32"/>
      <c r="D1831" s="32"/>
      <c r="G1831" s="23"/>
    </row>
    <row r="1832" spans="1:7">
      <c r="A1832" s="38"/>
      <c r="B1832" s="39"/>
      <c r="C1832" s="32"/>
      <c r="D1832" s="32"/>
      <c r="G1832" s="23"/>
    </row>
    <row r="1833" spans="1:7">
      <c r="A1833" s="38"/>
      <c r="B1833" s="39"/>
      <c r="C1833" s="32"/>
      <c r="D1833" s="32"/>
      <c r="G1833" s="23"/>
    </row>
    <row r="1834" spans="1:7">
      <c r="A1834" s="38"/>
      <c r="B1834" s="39"/>
      <c r="C1834" s="32"/>
      <c r="D1834" s="32"/>
      <c r="G1834" s="23"/>
    </row>
    <row r="1835" spans="1:7">
      <c r="A1835" s="38"/>
      <c r="B1835" s="39"/>
      <c r="C1835" s="32"/>
      <c r="D1835" s="32"/>
      <c r="G1835" s="23"/>
    </row>
    <row r="1836" spans="1:7">
      <c r="A1836" s="38"/>
      <c r="B1836" s="39"/>
      <c r="C1836" s="32"/>
      <c r="D1836" s="32"/>
      <c r="G1836" s="23"/>
    </row>
    <row r="1837" spans="1:7">
      <c r="A1837" s="38"/>
      <c r="B1837" s="39"/>
      <c r="C1837" s="32"/>
      <c r="D1837" s="32"/>
      <c r="G1837" s="23"/>
    </row>
    <row r="1838" spans="1:7">
      <c r="A1838" s="38"/>
      <c r="B1838" s="39"/>
      <c r="C1838" s="32"/>
      <c r="D1838" s="32"/>
      <c r="G1838" s="23"/>
    </row>
    <row r="1839" spans="1:7">
      <c r="A1839" s="38"/>
      <c r="B1839" s="39"/>
      <c r="C1839" s="32"/>
      <c r="D1839" s="32"/>
      <c r="G1839" s="23"/>
    </row>
    <row r="1840" spans="1:7">
      <c r="A1840" s="38"/>
      <c r="B1840" s="39"/>
      <c r="C1840" s="32"/>
      <c r="D1840" s="32"/>
      <c r="G1840" s="23"/>
    </row>
    <row r="1841" spans="1:7">
      <c r="A1841" s="38"/>
      <c r="B1841" s="39"/>
      <c r="C1841" s="32"/>
      <c r="D1841" s="32"/>
      <c r="G1841" s="23"/>
    </row>
    <row r="1842" spans="1:7">
      <c r="A1842" s="38"/>
      <c r="B1842" s="39"/>
      <c r="C1842" s="32"/>
      <c r="D1842" s="32"/>
      <c r="G1842" s="23"/>
    </row>
    <row r="1843" spans="1:7">
      <c r="A1843" s="38"/>
      <c r="B1843" s="39"/>
      <c r="C1843" s="32"/>
      <c r="D1843" s="32"/>
      <c r="G1843" s="23"/>
    </row>
    <row r="1844" spans="1:7">
      <c r="A1844" s="38"/>
      <c r="B1844" s="39"/>
      <c r="C1844" s="32"/>
      <c r="D1844" s="32"/>
      <c r="G1844" s="23"/>
    </row>
    <row r="1845" spans="1:7">
      <c r="A1845" s="38"/>
      <c r="B1845" s="39"/>
      <c r="C1845" s="32"/>
      <c r="D1845" s="32"/>
      <c r="G1845" s="23"/>
    </row>
    <row r="1846" spans="1:7">
      <c r="A1846" s="38"/>
      <c r="B1846" s="39"/>
      <c r="C1846" s="32"/>
      <c r="D1846" s="32"/>
      <c r="G1846" s="23"/>
    </row>
    <row r="1847" spans="1:7">
      <c r="A1847" s="38"/>
      <c r="B1847" s="39"/>
      <c r="C1847" s="32"/>
      <c r="D1847" s="32"/>
      <c r="G1847" s="23"/>
    </row>
    <row r="1848" spans="1:7">
      <c r="A1848" s="38"/>
      <c r="B1848" s="39"/>
      <c r="C1848" s="32"/>
      <c r="D1848" s="32"/>
      <c r="G1848" s="23"/>
    </row>
    <row r="1849" spans="1:7">
      <c r="A1849" s="38"/>
      <c r="B1849" s="39"/>
      <c r="C1849" s="32"/>
      <c r="D1849" s="32"/>
      <c r="G1849" s="23"/>
    </row>
    <row r="1850" spans="1:7">
      <c r="A1850" s="38"/>
      <c r="B1850" s="39"/>
      <c r="C1850" s="32"/>
      <c r="D1850" s="32"/>
      <c r="G1850" s="23"/>
    </row>
    <row r="1851" spans="1:7">
      <c r="A1851" s="38"/>
      <c r="B1851" s="39"/>
      <c r="C1851" s="32"/>
      <c r="D1851" s="32"/>
      <c r="G1851" s="23"/>
    </row>
    <row r="1852" spans="1:7">
      <c r="A1852" s="38"/>
      <c r="B1852" s="39"/>
      <c r="C1852" s="32"/>
      <c r="D1852" s="32"/>
      <c r="G1852" s="23"/>
    </row>
    <row r="1853" spans="1:7">
      <c r="A1853" s="38"/>
      <c r="B1853" s="39"/>
      <c r="C1853" s="32"/>
      <c r="D1853" s="32"/>
      <c r="G1853" s="23"/>
    </row>
    <row r="1854" spans="1:7">
      <c r="A1854" s="38"/>
      <c r="B1854" s="39"/>
      <c r="C1854" s="32"/>
      <c r="D1854" s="32"/>
      <c r="G1854" s="23"/>
    </row>
    <row r="1855" spans="1:7">
      <c r="A1855" s="38"/>
      <c r="B1855" s="39"/>
      <c r="C1855" s="32"/>
      <c r="D1855" s="32"/>
      <c r="G1855" s="23"/>
    </row>
    <row r="1856" spans="1:7">
      <c r="A1856" s="38"/>
      <c r="B1856" s="39"/>
      <c r="C1856" s="32"/>
      <c r="D1856" s="32"/>
      <c r="G1856" s="23"/>
    </row>
    <row r="1857" spans="1:7">
      <c r="A1857" s="38"/>
      <c r="B1857" s="39"/>
      <c r="C1857" s="32"/>
      <c r="D1857" s="32"/>
      <c r="G1857" s="23"/>
    </row>
    <row r="1858" spans="1:7">
      <c r="A1858" s="38"/>
      <c r="B1858" s="39"/>
      <c r="C1858" s="32"/>
      <c r="D1858" s="32"/>
      <c r="G1858" s="23"/>
    </row>
    <row r="1859" spans="1:7">
      <c r="A1859" s="38"/>
      <c r="B1859" s="39"/>
      <c r="C1859" s="32"/>
      <c r="D1859" s="32"/>
      <c r="G1859" s="23"/>
    </row>
    <row r="1860" spans="1:7">
      <c r="A1860" s="38"/>
      <c r="B1860" s="39"/>
      <c r="C1860" s="32"/>
      <c r="D1860" s="32"/>
      <c r="G1860" s="23"/>
    </row>
    <row r="1861" spans="1:7">
      <c r="A1861" s="38"/>
      <c r="B1861" s="39"/>
      <c r="C1861" s="32"/>
      <c r="D1861" s="32"/>
      <c r="G1861" s="23"/>
    </row>
    <row r="1862" spans="1:7">
      <c r="A1862" s="38"/>
      <c r="B1862" s="39"/>
      <c r="C1862" s="32"/>
      <c r="D1862" s="32"/>
      <c r="G1862" s="23"/>
    </row>
    <row r="1863" spans="1:7">
      <c r="A1863" s="38"/>
      <c r="B1863" s="39"/>
      <c r="C1863" s="32"/>
      <c r="D1863" s="32"/>
      <c r="G1863" s="23"/>
    </row>
    <row r="1864" spans="1:7">
      <c r="A1864" s="38"/>
      <c r="B1864" s="39"/>
      <c r="C1864" s="32"/>
      <c r="D1864" s="32"/>
      <c r="G1864" s="23"/>
    </row>
    <row r="1865" spans="1:7">
      <c r="A1865" s="38"/>
      <c r="B1865" s="39"/>
      <c r="C1865" s="32"/>
      <c r="D1865" s="32"/>
      <c r="G1865" s="23"/>
    </row>
    <row r="1866" spans="1:7">
      <c r="A1866" s="38"/>
      <c r="B1866" s="39"/>
      <c r="C1866" s="32"/>
      <c r="D1866" s="32"/>
      <c r="G1866" s="23"/>
    </row>
    <row r="1867" spans="1:7">
      <c r="A1867" s="38"/>
      <c r="B1867" s="39"/>
      <c r="C1867" s="32"/>
      <c r="D1867" s="32"/>
      <c r="G1867" s="23"/>
    </row>
    <row r="1868" spans="1:7">
      <c r="A1868" s="38"/>
      <c r="B1868" s="39"/>
      <c r="C1868" s="32"/>
      <c r="D1868" s="32"/>
      <c r="G1868" s="23"/>
    </row>
    <row r="1869" spans="1:7">
      <c r="A1869" s="38"/>
      <c r="B1869" s="39"/>
      <c r="C1869" s="32"/>
      <c r="D1869" s="32"/>
      <c r="G1869" s="23"/>
    </row>
    <row r="1870" spans="1:7">
      <c r="A1870" s="38"/>
      <c r="B1870" s="39"/>
      <c r="C1870" s="32"/>
      <c r="D1870" s="32"/>
      <c r="G1870" s="23"/>
    </row>
    <row r="1871" spans="1:7">
      <c r="A1871" s="38"/>
      <c r="B1871" s="39"/>
      <c r="C1871" s="32"/>
      <c r="D1871" s="32"/>
      <c r="G1871" s="23"/>
    </row>
    <row r="1872" spans="1:7">
      <c r="A1872" s="38"/>
      <c r="B1872" s="39"/>
      <c r="C1872" s="32"/>
      <c r="D1872" s="32"/>
      <c r="G1872" s="23"/>
    </row>
    <row r="1873" spans="1:7">
      <c r="A1873" s="38"/>
      <c r="B1873" s="39"/>
      <c r="C1873" s="32"/>
      <c r="D1873" s="32"/>
      <c r="G1873" s="23"/>
    </row>
    <row r="1874" spans="1:7">
      <c r="A1874" s="38"/>
      <c r="B1874" s="39"/>
      <c r="C1874" s="32"/>
      <c r="D1874" s="32"/>
      <c r="G1874" s="23"/>
    </row>
    <row r="1875" spans="1:7">
      <c r="A1875" s="38"/>
      <c r="B1875" s="39"/>
      <c r="C1875" s="32"/>
      <c r="D1875" s="32"/>
      <c r="G1875" s="23"/>
    </row>
    <row r="1876" spans="1:7">
      <c r="A1876" s="38"/>
      <c r="B1876" s="39"/>
      <c r="C1876" s="32"/>
      <c r="D1876" s="32"/>
      <c r="G1876" s="23"/>
    </row>
    <row r="1877" spans="1:7">
      <c r="A1877" s="38"/>
      <c r="B1877" s="39"/>
      <c r="C1877" s="32"/>
      <c r="D1877" s="32"/>
      <c r="G1877" s="23"/>
    </row>
    <row r="1878" spans="1:7">
      <c r="A1878" s="38"/>
      <c r="B1878" s="39"/>
      <c r="C1878" s="32"/>
      <c r="D1878" s="32"/>
      <c r="G1878" s="23"/>
    </row>
    <row r="1879" spans="1:7">
      <c r="A1879" s="38"/>
      <c r="B1879" s="39"/>
      <c r="C1879" s="32"/>
      <c r="D1879" s="32"/>
      <c r="G1879" s="23"/>
    </row>
    <row r="1880" spans="1:7">
      <c r="A1880" s="38"/>
      <c r="B1880" s="39"/>
      <c r="C1880" s="32"/>
      <c r="D1880" s="32"/>
      <c r="G1880" s="23"/>
    </row>
    <row r="1881" spans="1:7">
      <c r="A1881" s="38"/>
      <c r="B1881" s="39"/>
      <c r="C1881" s="32"/>
      <c r="D1881" s="32"/>
      <c r="G1881" s="23"/>
    </row>
    <row r="1882" spans="1:7">
      <c r="A1882" s="38"/>
      <c r="B1882" s="39"/>
      <c r="C1882" s="32"/>
      <c r="D1882" s="32"/>
      <c r="G1882" s="23"/>
    </row>
    <row r="1883" spans="1:7">
      <c r="A1883" s="38"/>
      <c r="B1883" s="39"/>
      <c r="C1883" s="32"/>
      <c r="D1883" s="32"/>
      <c r="G1883" s="23"/>
    </row>
    <row r="1884" spans="1:7">
      <c r="A1884" s="38"/>
      <c r="B1884" s="39"/>
      <c r="C1884" s="32"/>
      <c r="D1884" s="32"/>
      <c r="G1884" s="23"/>
    </row>
    <row r="1885" spans="1:7">
      <c r="A1885" s="38"/>
      <c r="B1885" s="39"/>
      <c r="C1885" s="32"/>
      <c r="D1885" s="32"/>
      <c r="G1885" s="23"/>
    </row>
    <row r="1886" spans="1:7">
      <c r="A1886" s="38"/>
      <c r="B1886" s="39"/>
      <c r="C1886" s="32"/>
      <c r="D1886" s="32"/>
      <c r="G1886" s="23"/>
    </row>
    <row r="1887" spans="1:7">
      <c r="A1887" s="38"/>
      <c r="B1887" s="39"/>
      <c r="C1887" s="32"/>
      <c r="D1887" s="32"/>
      <c r="G1887" s="23"/>
    </row>
    <row r="1888" spans="1:7">
      <c r="A1888" s="38"/>
      <c r="B1888" s="39"/>
      <c r="C1888" s="32"/>
      <c r="D1888" s="32"/>
      <c r="G1888" s="23"/>
    </row>
    <row r="1889" spans="1:7">
      <c r="A1889" s="38"/>
      <c r="B1889" s="39"/>
      <c r="C1889" s="32"/>
      <c r="D1889" s="32"/>
      <c r="G1889" s="23"/>
    </row>
    <row r="1890" spans="1:7">
      <c r="A1890" s="38"/>
      <c r="B1890" s="39"/>
      <c r="C1890" s="32"/>
      <c r="D1890" s="32"/>
      <c r="G1890" s="23"/>
    </row>
    <row r="1891" spans="1:7">
      <c r="A1891" s="38"/>
      <c r="B1891" s="39"/>
      <c r="C1891" s="32"/>
      <c r="D1891" s="32"/>
      <c r="G1891" s="23"/>
    </row>
    <row r="1892" spans="1:7">
      <c r="A1892" s="38"/>
      <c r="B1892" s="39"/>
      <c r="C1892" s="32"/>
      <c r="D1892" s="32"/>
      <c r="G1892" s="23"/>
    </row>
    <row r="1893" spans="1:7">
      <c r="A1893" s="38"/>
      <c r="B1893" s="39"/>
      <c r="C1893" s="32"/>
      <c r="D1893" s="32"/>
      <c r="G1893" s="23"/>
    </row>
    <row r="1894" spans="1:7">
      <c r="A1894" s="38"/>
      <c r="B1894" s="39"/>
      <c r="C1894" s="32"/>
      <c r="D1894" s="32"/>
      <c r="G1894" s="23"/>
    </row>
    <row r="1895" spans="1:7">
      <c r="A1895" s="38"/>
      <c r="B1895" s="39"/>
      <c r="C1895" s="32"/>
      <c r="D1895" s="32"/>
      <c r="G1895" s="23"/>
    </row>
    <row r="1896" spans="1:7">
      <c r="A1896" s="38"/>
      <c r="B1896" s="39"/>
      <c r="C1896" s="32"/>
      <c r="D1896" s="32"/>
      <c r="G1896" s="23"/>
    </row>
    <row r="1897" spans="1:7">
      <c r="A1897" s="38"/>
      <c r="B1897" s="39"/>
      <c r="C1897" s="32"/>
      <c r="D1897" s="32"/>
      <c r="G1897" s="23"/>
    </row>
    <row r="1898" spans="1:7">
      <c r="A1898" s="38"/>
      <c r="B1898" s="39"/>
      <c r="C1898" s="32"/>
      <c r="D1898" s="32"/>
      <c r="G1898" s="23"/>
    </row>
    <row r="1899" spans="1:7">
      <c r="A1899" s="38"/>
      <c r="B1899" s="39"/>
      <c r="C1899" s="32"/>
      <c r="D1899" s="32"/>
      <c r="G1899" s="23"/>
    </row>
    <row r="1900" spans="1:7">
      <c r="A1900" s="38"/>
      <c r="B1900" s="39"/>
      <c r="C1900" s="32"/>
      <c r="D1900" s="32"/>
      <c r="G1900" s="23"/>
    </row>
    <row r="1901" spans="1:7">
      <c r="A1901" s="38"/>
      <c r="B1901" s="39"/>
      <c r="C1901" s="32"/>
      <c r="D1901" s="32"/>
      <c r="G1901" s="23"/>
    </row>
    <row r="1902" spans="1:7">
      <c r="A1902" s="38"/>
      <c r="B1902" s="39"/>
      <c r="C1902" s="32"/>
      <c r="D1902" s="32"/>
      <c r="G1902" s="23"/>
    </row>
    <row r="1903" spans="1:7">
      <c r="A1903" s="38"/>
      <c r="B1903" s="39"/>
      <c r="C1903" s="32"/>
      <c r="D1903" s="32"/>
      <c r="G1903" s="23"/>
    </row>
    <row r="1904" spans="1:7">
      <c r="A1904" s="38"/>
      <c r="B1904" s="39"/>
      <c r="C1904" s="32"/>
      <c r="D1904" s="32"/>
      <c r="G1904" s="23"/>
    </row>
    <row r="1905" spans="1:7">
      <c r="A1905" s="38"/>
      <c r="B1905" s="39"/>
      <c r="C1905" s="32"/>
      <c r="D1905" s="32"/>
      <c r="G1905" s="23"/>
    </row>
    <row r="1906" spans="1:7">
      <c r="A1906" s="38"/>
      <c r="B1906" s="39"/>
      <c r="C1906" s="32"/>
      <c r="D1906" s="32"/>
      <c r="G1906" s="23"/>
    </row>
    <row r="1907" spans="1:7">
      <c r="A1907" s="38"/>
      <c r="B1907" s="39"/>
      <c r="C1907" s="32"/>
      <c r="D1907" s="32"/>
      <c r="G1907" s="23"/>
    </row>
    <row r="1908" spans="1:7">
      <c r="A1908" s="38"/>
      <c r="B1908" s="39"/>
      <c r="C1908" s="32"/>
      <c r="D1908" s="32"/>
      <c r="G1908" s="23"/>
    </row>
    <row r="1909" spans="1:7">
      <c r="A1909" s="38"/>
      <c r="B1909" s="39"/>
      <c r="C1909" s="32"/>
      <c r="D1909" s="32"/>
      <c r="G1909" s="23"/>
    </row>
    <row r="1910" spans="1:7">
      <c r="A1910" s="38"/>
      <c r="B1910" s="39"/>
      <c r="C1910" s="32"/>
      <c r="D1910" s="32"/>
      <c r="G1910" s="23"/>
    </row>
    <row r="1911" spans="1:7">
      <c r="A1911" s="38"/>
      <c r="B1911" s="39"/>
      <c r="C1911" s="32"/>
      <c r="D1911" s="32"/>
      <c r="G1911" s="23"/>
    </row>
    <row r="1912" spans="1:7">
      <c r="A1912" s="38"/>
      <c r="B1912" s="39"/>
      <c r="C1912" s="32"/>
      <c r="D1912" s="32"/>
      <c r="G1912" s="23"/>
    </row>
    <row r="1913" spans="1:7">
      <c r="A1913" s="38"/>
      <c r="B1913" s="39"/>
      <c r="C1913" s="32"/>
      <c r="D1913" s="32"/>
      <c r="G1913" s="23"/>
    </row>
    <row r="1914" spans="1:7">
      <c r="A1914" s="38"/>
      <c r="B1914" s="39"/>
      <c r="C1914" s="32"/>
      <c r="D1914" s="32"/>
      <c r="G1914" s="23"/>
    </row>
    <row r="1915" spans="1:7">
      <c r="A1915" s="38"/>
      <c r="B1915" s="39"/>
      <c r="C1915" s="32"/>
      <c r="D1915" s="32"/>
      <c r="G1915" s="23"/>
    </row>
    <row r="1916" spans="1:7">
      <c r="A1916" s="38"/>
      <c r="B1916" s="39"/>
      <c r="C1916" s="32"/>
      <c r="D1916" s="32"/>
      <c r="G1916" s="23"/>
    </row>
    <row r="1917" spans="1:7">
      <c r="A1917" s="38"/>
      <c r="B1917" s="39"/>
      <c r="C1917" s="32"/>
      <c r="D1917" s="32"/>
      <c r="G1917" s="23"/>
    </row>
    <row r="1918" spans="1:7">
      <c r="A1918" s="38"/>
      <c r="B1918" s="39"/>
      <c r="C1918" s="32"/>
      <c r="D1918" s="32"/>
      <c r="G1918" s="23"/>
    </row>
    <row r="1919" spans="1:7">
      <c r="A1919" s="38"/>
      <c r="B1919" s="39"/>
      <c r="C1919" s="32"/>
      <c r="D1919" s="32"/>
      <c r="G1919" s="23"/>
    </row>
    <row r="1920" spans="1:7">
      <c r="A1920" s="38"/>
      <c r="B1920" s="39"/>
      <c r="C1920" s="32"/>
      <c r="D1920" s="32"/>
      <c r="G1920" s="23"/>
    </row>
    <row r="1921" spans="1:7">
      <c r="A1921" s="38"/>
      <c r="B1921" s="39"/>
      <c r="C1921" s="32"/>
      <c r="D1921" s="32"/>
      <c r="G1921" s="23"/>
    </row>
    <row r="1922" spans="1:7">
      <c r="A1922" s="38"/>
      <c r="B1922" s="39"/>
      <c r="C1922" s="32"/>
      <c r="D1922" s="32"/>
      <c r="G1922" s="23"/>
    </row>
    <row r="1923" spans="1:7">
      <c r="A1923" s="38"/>
      <c r="B1923" s="39"/>
      <c r="C1923" s="32"/>
      <c r="D1923" s="32"/>
      <c r="G1923" s="23"/>
    </row>
    <row r="1924" spans="1:7">
      <c r="A1924" s="38"/>
      <c r="B1924" s="39"/>
      <c r="C1924" s="32"/>
      <c r="D1924" s="32"/>
      <c r="G1924" s="23"/>
    </row>
    <row r="1925" spans="1:7">
      <c r="A1925" s="38"/>
      <c r="B1925" s="39"/>
      <c r="C1925" s="32"/>
      <c r="D1925" s="32"/>
      <c r="G1925" s="23"/>
    </row>
    <row r="1926" spans="1:7">
      <c r="A1926" s="38"/>
      <c r="B1926" s="39"/>
      <c r="C1926" s="32"/>
      <c r="D1926" s="32"/>
      <c r="G1926" s="23"/>
    </row>
    <row r="1927" spans="1:7">
      <c r="A1927" s="38"/>
      <c r="B1927" s="39"/>
      <c r="C1927" s="32"/>
      <c r="D1927" s="32"/>
      <c r="G1927" s="23"/>
    </row>
    <row r="1928" spans="1:7">
      <c r="A1928" s="38"/>
      <c r="B1928" s="39"/>
      <c r="C1928" s="32"/>
      <c r="D1928" s="32"/>
      <c r="G1928" s="23"/>
    </row>
    <row r="1929" spans="1:7">
      <c r="A1929" s="38"/>
      <c r="B1929" s="39"/>
      <c r="C1929" s="32"/>
      <c r="D1929" s="32"/>
      <c r="G1929" s="23"/>
    </row>
    <row r="1930" spans="1:7">
      <c r="A1930" s="38"/>
      <c r="B1930" s="39"/>
      <c r="C1930" s="32"/>
      <c r="D1930" s="32"/>
      <c r="G1930" s="23"/>
    </row>
    <row r="1931" spans="1:7">
      <c r="A1931" s="38"/>
      <c r="B1931" s="39"/>
      <c r="C1931" s="32"/>
      <c r="D1931" s="32"/>
      <c r="G1931" s="23"/>
    </row>
    <row r="1932" spans="1:7">
      <c r="A1932" s="38"/>
      <c r="B1932" s="39"/>
      <c r="C1932" s="32"/>
      <c r="D1932" s="32"/>
      <c r="G1932" s="23"/>
    </row>
    <row r="1933" spans="1:7">
      <c r="A1933" s="38"/>
      <c r="B1933" s="39"/>
      <c r="C1933" s="32"/>
      <c r="D1933" s="32"/>
      <c r="G1933" s="23"/>
    </row>
    <row r="1934" spans="1:7">
      <c r="A1934" s="38"/>
      <c r="B1934" s="39"/>
      <c r="C1934" s="32"/>
      <c r="D1934" s="32"/>
      <c r="G1934" s="23"/>
    </row>
    <row r="1935" spans="1:7">
      <c r="A1935" s="38"/>
      <c r="B1935" s="39"/>
      <c r="C1935" s="32"/>
      <c r="D1935" s="32"/>
      <c r="G1935" s="23"/>
    </row>
    <row r="1936" spans="1:7">
      <c r="A1936" s="38"/>
      <c r="B1936" s="39"/>
      <c r="C1936" s="32"/>
      <c r="D1936" s="32"/>
      <c r="G1936" s="23"/>
    </row>
    <row r="1937" spans="1:7">
      <c r="A1937" s="38"/>
      <c r="B1937" s="39"/>
      <c r="C1937" s="32"/>
      <c r="D1937" s="32"/>
      <c r="G1937" s="23"/>
    </row>
    <row r="1938" spans="1:7">
      <c r="A1938" s="38"/>
      <c r="B1938" s="39"/>
      <c r="C1938" s="32"/>
      <c r="D1938" s="32"/>
      <c r="G1938" s="23"/>
    </row>
    <row r="1939" spans="1:7">
      <c r="A1939" s="38"/>
      <c r="B1939" s="39"/>
      <c r="C1939" s="32"/>
      <c r="D1939" s="32"/>
      <c r="G1939" s="23"/>
    </row>
    <row r="1940" spans="1:7">
      <c r="A1940" s="38"/>
      <c r="B1940" s="39"/>
      <c r="C1940" s="32"/>
      <c r="D1940" s="32"/>
      <c r="G1940" s="23"/>
    </row>
    <row r="1941" spans="1:7">
      <c r="A1941" s="38"/>
      <c r="B1941" s="39"/>
      <c r="C1941" s="32"/>
      <c r="D1941" s="32"/>
      <c r="G1941" s="23"/>
    </row>
    <row r="1942" spans="1:7">
      <c r="A1942" s="38"/>
      <c r="B1942" s="39"/>
      <c r="C1942" s="32"/>
      <c r="D1942" s="32"/>
      <c r="G1942" s="23"/>
    </row>
    <row r="1943" spans="1:7">
      <c r="A1943" s="38"/>
      <c r="B1943" s="39"/>
      <c r="C1943" s="32"/>
      <c r="D1943" s="32"/>
      <c r="G1943" s="23"/>
    </row>
    <row r="1944" spans="1:7">
      <c r="A1944" s="38"/>
      <c r="B1944" s="39"/>
      <c r="C1944" s="32"/>
      <c r="D1944" s="32"/>
      <c r="G1944" s="23"/>
    </row>
    <row r="1945" spans="1:7">
      <c r="A1945" s="38"/>
      <c r="B1945" s="39"/>
      <c r="C1945" s="32"/>
      <c r="D1945" s="32"/>
      <c r="G1945" s="23"/>
    </row>
    <row r="1946" spans="1:7">
      <c r="A1946" s="38"/>
      <c r="B1946" s="39"/>
      <c r="C1946" s="32"/>
      <c r="D1946" s="32"/>
      <c r="G1946" s="23"/>
    </row>
    <row r="1947" spans="1:7">
      <c r="A1947" s="38"/>
      <c r="B1947" s="39"/>
      <c r="C1947" s="32"/>
      <c r="D1947" s="32"/>
      <c r="G1947" s="23"/>
    </row>
    <row r="1948" spans="1:7">
      <c r="A1948" s="38"/>
      <c r="B1948" s="39"/>
      <c r="C1948" s="32"/>
      <c r="D1948" s="32"/>
      <c r="G1948" s="23"/>
    </row>
    <row r="1949" spans="1:7">
      <c r="A1949" s="38"/>
      <c r="B1949" s="39"/>
      <c r="C1949" s="32"/>
      <c r="D1949" s="32"/>
      <c r="G1949" s="23"/>
    </row>
    <row r="1950" spans="1:7">
      <c r="A1950" s="38"/>
      <c r="B1950" s="39"/>
      <c r="C1950" s="32"/>
      <c r="D1950" s="32"/>
      <c r="G1950" s="23"/>
    </row>
    <row r="1951" spans="1:7">
      <c r="A1951" s="38"/>
      <c r="B1951" s="39"/>
      <c r="C1951" s="32"/>
      <c r="D1951" s="32"/>
      <c r="G1951" s="23"/>
    </row>
    <row r="1952" spans="1:7">
      <c r="A1952" s="38"/>
      <c r="B1952" s="39"/>
      <c r="C1952" s="32"/>
      <c r="D1952" s="32"/>
      <c r="G1952" s="23"/>
    </row>
    <row r="1953" spans="1:7">
      <c r="A1953" s="38"/>
      <c r="B1953" s="39"/>
      <c r="C1953" s="32"/>
      <c r="D1953" s="32"/>
      <c r="G1953" s="23"/>
    </row>
    <row r="1954" spans="1:7">
      <c r="A1954" s="38"/>
      <c r="B1954" s="39"/>
      <c r="C1954" s="32"/>
      <c r="D1954" s="32"/>
      <c r="G1954" s="23"/>
    </row>
    <row r="1955" spans="1:7">
      <c r="A1955" s="38"/>
      <c r="B1955" s="39"/>
      <c r="C1955" s="32"/>
      <c r="D1955" s="32"/>
      <c r="G1955" s="23"/>
    </row>
    <row r="1956" spans="1:7">
      <c r="A1956" s="38"/>
      <c r="B1956" s="39"/>
      <c r="C1956" s="32"/>
      <c r="D1956" s="32"/>
      <c r="G1956" s="23"/>
    </row>
    <row r="1957" spans="1:7">
      <c r="A1957" s="38"/>
      <c r="B1957" s="39"/>
      <c r="C1957" s="32"/>
      <c r="D1957" s="32"/>
      <c r="G1957" s="23"/>
    </row>
    <row r="1958" spans="1:7">
      <c r="A1958" s="38"/>
      <c r="B1958" s="39"/>
      <c r="C1958" s="32"/>
      <c r="D1958" s="32"/>
      <c r="G1958" s="23"/>
    </row>
    <row r="1959" spans="1:7">
      <c r="A1959" s="38"/>
      <c r="B1959" s="39"/>
      <c r="C1959" s="32"/>
      <c r="D1959" s="32"/>
      <c r="G1959" s="23"/>
    </row>
    <row r="1960" spans="1:7">
      <c r="A1960" s="38"/>
      <c r="B1960" s="39"/>
      <c r="C1960" s="32"/>
      <c r="D1960" s="32"/>
      <c r="G1960" s="23"/>
    </row>
    <row r="1961" spans="1:7">
      <c r="A1961" s="38"/>
      <c r="B1961" s="39"/>
      <c r="C1961" s="32"/>
      <c r="D1961" s="32"/>
      <c r="G1961" s="23"/>
    </row>
    <row r="1962" spans="1:7">
      <c r="A1962" s="38"/>
      <c r="B1962" s="39"/>
      <c r="C1962" s="32"/>
      <c r="D1962" s="32"/>
      <c r="G1962" s="23"/>
    </row>
    <row r="1963" spans="1:7">
      <c r="A1963" s="38"/>
      <c r="B1963" s="39"/>
      <c r="C1963" s="32"/>
      <c r="D1963" s="32"/>
      <c r="G1963" s="23"/>
    </row>
    <row r="1964" spans="1:7">
      <c r="A1964" s="38"/>
      <c r="B1964" s="39"/>
      <c r="C1964" s="32"/>
      <c r="D1964" s="32"/>
      <c r="G1964" s="23"/>
    </row>
    <row r="1965" spans="1:7">
      <c r="A1965" s="38"/>
      <c r="B1965" s="39"/>
      <c r="C1965" s="32"/>
      <c r="D1965" s="32"/>
      <c r="G1965" s="23"/>
    </row>
    <row r="1966" spans="1:7">
      <c r="A1966" s="38"/>
      <c r="B1966" s="39"/>
      <c r="C1966" s="32"/>
      <c r="D1966" s="32"/>
      <c r="G1966" s="23"/>
    </row>
    <row r="1967" spans="1:7">
      <c r="A1967" s="38"/>
      <c r="B1967" s="39"/>
      <c r="C1967" s="32"/>
      <c r="D1967" s="32"/>
      <c r="G1967" s="23"/>
    </row>
    <row r="1968" spans="1:7">
      <c r="A1968" s="38"/>
      <c r="B1968" s="39"/>
      <c r="C1968" s="32"/>
      <c r="D1968" s="32"/>
      <c r="G1968" s="23"/>
    </row>
    <row r="1969" spans="1:7">
      <c r="A1969" s="38"/>
      <c r="B1969" s="39"/>
      <c r="C1969" s="32"/>
      <c r="D1969" s="32"/>
      <c r="G1969" s="23"/>
    </row>
    <row r="1970" spans="1:7">
      <c r="A1970" s="38"/>
      <c r="B1970" s="39"/>
      <c r="C1970" s="32"/>
      <c r="D1970" s="32"/>
      <c r="G1970" s="23"/>
    </row>
    <row r="1971" spans="1:7">
      <c r="A1971" s="38"/>
      <c r="B1971" s="39"/>
      <c r="C1971" s="32"/>
      <c r="D1971" s="32"/>
      <c r="G1971" s="23"/>
    </row>
    <row r="1972" spans="1:7">
      <c r="A1972" s="38"/>
      <c r="B1972" s="39"/>
      <c r="C1972" s="32"/>
      <c r="D1972" s="32"/>
      <c r="G1972" s="23"/>
    </row>
    <row r="1973" spans="1:7">
      <c r="A1973" s="38"/>
      <c r="B1973" s="39"/>
      <c r="C1973" s="32"/>
      <c r="D1973" s="32"/>
      <c r="G1973" s="23"/>
    </row>
    <row r="1974" spans="1:7">
      <c r="A1974" s="38"/>
      <c r="B1974" s="39"/>
      <c r="C1974" s="32"/>
      <c r="D1974" s="32"/>
      <c r="G1974" s="23"/>
    </row>
    <row r="1975" spans="1:7">
      <c r="A1975" s="38"/>
      <c r="B1975" s="39"/>
      <c r="C1975" s="32"/>
      <c r="D1975" s="32"/>
      <c r="G1975" s="23"/>
    </row>
    <row r="1976" spans="1:7">
      <c r="A1976" s="38"/>
      <c r="B1976" s="39"/>
      <c r="C1976" s="32"/>
      <c r="D1976" s="32"/>
      <c r="G1976" s="23"/>
    </row>
    <row r="1977" spans="1:7">
      <c r="A1977" s="38"/>
      <c r="B1977" s="39"/>
      <c r="C1977" s="32"/>
      <c r="D1977" s="32"/>
      <c r="G1977" s="23"/>
    </row>
    <row r="1978" spans="1:7">
      <c r="A1978" s="38"/>
      <c r="B1978" s="39"/>
      <c r="C1978" s="32"/>
      <c r="D1978" s="32"/>
      <c r="G1978" s="23"/>
    </row>
    <row r="1979" spans="1:7">
      <c r="A1979" s="38"/>
      <c r="B1979" s="39"/>
      <c r="C1979" s="32"/>
      <c r="D1979" s="32"/>
      <c r="G1979" s="23"/>
    </row>
    <row r="1980" spans="1:7">
      <c r="A1980" s="38"/>
      <c r="B1980" s="39"/>
      <c r="C1980" s="32"/>
      <c r="D1980" s="32"/>
      <c r="G1980" s="23"/>
    </row>
    <row r="1981" spans="1:7">
      <c r="A1981" s="38"/>
      <c r="B1981" s="39"/>
      <c r="C1981" s="32"/>
      <c r="D1981" s="32"/>
      <c r="G1981" s="23"/>
    </row>
    <row r="1982" spans="1:7">
      <c r="A1982" s="38"/>
      <c r="B1982" s="39"/>
      <c r="C1982" s="32"/>
      <c r="D1982" s="32"/>
      <c r="G1982" s="23"/>
    </row>
    <row r="1983" spans="1:7">
      <c r="A1983" s="38"/>
      <c r="B1983" s="39"/>
      <c r="C1983" s="32"/>
      <c r="D1983" s="32"/>
      <c r="G1983" s="23"/>
    </row>
    <row r="1984" spans="1:7">
      <c r="A1984" s="38"/>
      <c r="B1984" s="39"/>
      <c r="C1984" s="32"/>
      <c r="D1984" s="32"/>
      <c r="G1984" s="23"/>
    </row>
    <row r="1985" spans="1:7">
      <c r="A1985" s="38"/>
      <c r="B1985" s="39"/>
      <c r="C1985" s="32"/>
      <c r="D1985" s="32"/>
      <c r="G1985" s="23"/>
    </row>
    <row r="1986" spans="1:7">
      <c r="A1986" s="38"/>
      <c r="B1986" s="39"/>
      <c r="C1986" s="32"/>
      <c r="D1986" s="32"/>
      <c r="G1986" s="23"/>
    </row>
    <row r="1987" spans="1:7">
      <c r="A1987" s="38"/>
      <c r="B1987" s="39"/>
      <c r="C1987" s="32"/>
      <c r="D1987" s="32"/>
      <c r="G1987" s="23"/>
    </row>
    <row r="1988" spans="1:7">
      <c r="A1988" s="38"/>
      <c r="B1988" s="39"/>
      <c r="C1988" s="32"/>
      <c r="D1988" s="32"/>
      <c r="G1988" s="23"/>
    </row>
    <row r="1989" spans="1:7">
      <c r="A1989" s="38"/>
      <c r="B1989" s="39"/>
      <c r="C1989" s="32"/>
      <c r="D1989" s="32"/>
      <c r="G1989" s="23"/>
    </row>
    <row r="1990" spans="1:7">
      <c r="A1990" s="38"/>
      <c r="B1990" s="39"/>
      <c r="C1990" s="32"/>
      <c r="D1990" s="32"/>
      <c r="G1990" s="23"/>
    </row>
    <row r="1991" spans="1:7">
      <c r="A1991" s="38"/>
      <c r="B1991" s="39"/>
      <c r="C1991" s="32"/>
      <c r="D1991" s="32"/>
      <c r="G1991" s="23"/>
    </row>
    <row r="1992" spans="1:7">
      <c r="A1992" s="38"/>
      <c r="B1992" s="39"/>
      <c r="C1992" s="32"/>
      <c r="D1992" s="32"/>
      <c r="G1992" s="23"/>
    </row>
    <row r="1993" spans="1:7">
      <c r="A1993" s="38"/>
      <c r="B1993" s="39"/>
      <c r="C1993" s="32"/>
      <c r="D1993" s="32"/>
      <c r="G1993" s="23"/>
    </row>
    <row r="1994" spans="1:7">
      <c r="A1994" s="38"/>
      <c r="B1994" s="39"/>
      <c r="C1994" s="32"/>
      <c r="D1994" s="32"/>
      <c r="G1994" s="23"/>
    </row>
    <row r="1995" spans="1:7">
      <c r="A1995" s="38"/>
      <c r="B1995" s="39"/>
      <c r="C1995" s="32"/>
      <c r="D1995" s="32"/>
      <c r="G1995" s="23"/>
    </row>
    <row r="1996" spans="1:7">
      <c r="A1996" s="38"/>
      <c r="B1996" s="39"/>
      <c r="C1996" s="32"/>
      <c r="D1996" s="32"/>
      <c r="G1996" s="23"/>
    </row>
    <row r="1997" spans="1:7">
      <c r="A1997" s="38"/>
      <c r="B1997" s="39"/>
      <c r="C1997" s="32"/>
      <c r="D1997" s="32"/>
      <c r="G1997" s="23"/>
    </row>
    <row r="1998" spans="1:7">
      <c r="A1998" s="38"/>
      <c r="B1998" s="39"/>
      <c r="C1998" s="32"/>
      <c r="D1998" s="32"/>
      <c r="G1998" s="23"/>
    </row>
    <row r="1999" spans="1:7">
      <c r="A1999" s="38"/>
      <c r="B1999" s="39"/>
      <c r="C1999" s="32"/>
      <c r="D1999" s="32"/>
      <c r="G1999" s="23"/>
    </row>
    <row r="2000" spans="1:7">
      <c r="A2000" s="38"/>
      <c r="B2000" s="39"/>
      <c r="C2000" s="32"/>
      <c r="D2000" s="32"/>
      <c r="G2000" s="23"/>
    </row>
    <row r="2001" spans="1:7">
      <c r="A2001" s="38"/>
      <c r="B2001" s="39"/>
      <c r="C2001" s="32"/>
      <c r="D2001" s="32"/>
      <c r="G2001" s="23"/>
    </row>
    <row r="2002" spans="1:7">
      <c r="A2002" s="38"/>
      <c r="B2002" s="39"/>
      <c r="C2002" s="32"/>
      <c r="D2002" s="32"/>
      <c r="G2002" s="23"/>
    </row>
    <row r="2003" spans="1:7">
      <c r="A2003" s="38"/>
      <c r="B2003" s="39"/>
      <c r="C2003" s="32"/>
      <c r="D2003" s="32"/>
      <c r="G2003" s="23"/>
    </row>
    <row r="2004" spans="1:7">
      <c r="A2004" s="38"/>
      <c r="B2004" s="39"/>
      <c r="C2004" s="32"/>
      <c r="D2004" s="32"/>
      <c r="G2004" s="23"/>
    </row>
    <row r="2005" spans="1:7">
      <c r="A2005" s="38"/>
      <c r="B2005" s="39"/>
      <c r="C2005" s="32"/>
      <c r="D2005" s="32"/>
      <c r="G2005" s="23"/>
    </row>
    <row r="2006" spans="1:7">
      <c r="A2006" s="38"/>
      <c r="B2006" s="39"/>
      <c r="C2006" s="32"/>
      <c r="D2006" s="32"/>
      <c r="G2006" s="23"/>
    </row>
    <row r="2007" spans="1:7">
      <c r="A2007" s="38"/>
      <c r="B2007" s="39"/>
      <c r="C2007" s="32"/>
      <c r="D2007" s="32"/>
      <c r="G2007" s="23"/>
    </row>
    <row r="2008" spans="1:7">
      <c r="A2008" s="38"/>
      <c r="B2008" s="39"/>
      <c r="C2008" s="32"/>
      <c r="D2008" s="32"/>
      <c r="G2008" s="23"/>
    </row>
    <row r="2009" spans="1:7">
      <c r="A2009" s="38"/>
      <c r="B2009" s="39"/>
      <c r="C2009" s="32"/>
      <c r="D2009" s="32"/>
      <c r="G2009" s="23"/>
    </row>
    <row r="2010" spans="1:7">
      <c r="A2010" s="38"/>
      <c r="B2010" s="39"/>
      <c r="C2010" s="32"/>
      <c r="D2010" s="32"/>
      <c r="G2010" s="23"/>
    </row>
    <row r="2011" spans="1:7">
      <c r="A2011" s="38"/>
      <c r="B2011" s="39"/>
      <c r="C2011" s="32"/>
      <c r="D2011" s="32"/>
      <c r="G2011" s="23"/>
    </row>
    <row r="2012" spans="1:7">
      <c r="A2012" s="38"/>
      <c r="B2012" s="39"/>
      <c r="C2012" s="32"/>
      <c r="D2012" s="32"/>
      <c r="G2012" s="23"/>
    </row>
    <row r="2013" spans="1:7">
      <c r="A2013" s="38"/>
      <c r="B2013" s="39"/>
      <c r="C2013" s="32"/>
      <c r="D2013" s="32"/>
      <c r="G2013" s="23"/>
    </row>
    <row r="2014" spans="1:7">
      <c r="A2014" s="38"/>
      <c r="B2014" s="39"/>
      <c r="C2014" s="32"/>
      <c r="D2014" s="32"/>
      <c r="G2014" s="23"/>
    </row>
    <row r="2015" spans="1:7">
      <c r="A2015" s="38"/>
      <c r="B2015" s="39"/>
      <c r="C2015" s="32"/>
      <c r="D2015" s="32"/>
      <c r="G2015" s="23"/>
    </row>
    <row r="2016" spans="1:7">
      <c r="A2016" s="38"/>
      <c r="B2016" s="39"/>
      <c r="C2016" s="32"/>
      <c r="D2016" s="32"/>
      <c r="G2016" s="23"/>
    </row>
    <row r="2017" spans="1:7">
      <c r="A2017" s="38"/>
      <c r="B2017" s="39"/>
      <c r="C2017" s="32"/>
      <c r="D2017" s="32"/>
      <c r="G2017" s="23"/>
    </row>
    <row r="2018" spans="1:7">
      <c r="A2018" s="38"/>
      <c r="B2018" s="39"/>
      <c r="C2018" s="32"/>
      <c r="D2018" s="32"/>
      <c r="G2018" s="23"/>
    </row>
    <row r="2019" spans="1:7">
      <c r="A2019" s="38"/>
      <c r="B2019" s="39"/>
      <c r="C2019" s="32"/>
      <c r="D2019" s="32"/>
      <c r="G2019" s="23"/>
    </row>
    <row r="2020" spans="1:7">
      <c r="A2020" s="38"/>
      <c r="B2020" s="39"/>
      <c r="C2020" s="32"/>
      <c r="D2020" s="32"/>
      <c r="G2020" s="23"/>
    </row>
    <row r="2021" spans="1:7">
      <c r="A2021" s="38"/>
      <c r="B2021" s="39"/>
      <c r="C2021" s="32"/>
      <c r="D2021" s="32"/>
      <c r="G2021" s="23"/>
    </row>
    <row r="2022" spans="1:7">
      <c r="A2022" s="38"/>
      <c r="B2022" s="39"/>
      <c r="C2022" s="32"/>
      <c r="D2022" s="32"/>
      <c r="G2022" s="23"/>
    </row>
    <row r="2023" spans="1:7">
      <c r="A2023" s="38"/>
      <c r="B2023" s="39"/>
      <c r="C2023" s="32"/>
      <c r="D2023" s="32"/>
      <c r="G2023" s="23"/>
    </row>
    <row r="2024" spans="1:7">
      <c r="A2024" s="38"/>
      <c r="B2024" s="39"/>
      <c r="C2024" s="32"/>
      <c r="D2024" s="32"/>
      <c r="G2024" s="23"/>
    </row>
    <row r="2025" spans="1:7">
      <c r="A2025" s="38"/>
      <c r="B2025" s="39"/>
      <c r="C2025" s="32"/>
      <c r="D2025" s="32"/>
      <c r="G2025" s="23"/>
    </row>
    <row r="2026" spans="1:7">
      <c r="A2026" s="38"/>
      <c r="B2026" s="39"/>
      <c r="C2026" s="32"/>
      <c r="D2026" s="32"/>
      <c r="G2026" s="23"/>
    </row>
    <row r="2027" spans="1:7">
      <c r="A2027" s="38"/>
      <c r="B2027" s="39"/>
      <c r="C2027" s="32"/>
      <c r="D2027" s="32"/>
      <c r="G2027" s="23"/>
    </row>
    <row r="2028" spans="1:7">
      <c r="A2028" s="38"/>
      <c r="B2028" s="39"/>
      <c r="C2028" s="32"/>
      <c r="D2028" s="32"/>
      <c r="G2028" s="23"/>
    </row>
    <row r="2029" spans="1:7">
      <c r="A2029" s="38"/>
      <c r="B2029" s="39"/>
      <c r="C2029" s="32"/>
      <c r="D2029" s="32"/>
      <c r="G2029" s="23"/>
    </row>
    <row r="2030" spans="1:7">
      <c r="A2030" s="38"/>
      <c r="B2030" s="39"/>
      <c r="C2030" s="32"/>
      <c r="D2030" s="32"/>
      <c r="G2030" s="23"/>
    </row>
    <row r="2031" spans="1:7">
      <c r="A2031" s="38"/>
      <c r="B2031" s="39"/>
      <c r="C2031" s="32"/>
      <c r="D2031" s="32"/>
      <c r="G2031" s="23"/>
    </row>
    <row r="2032" spans="1:7">
      <c r="A2032" s="38"/>
      <c r="B2032" s="39"/>
      <c r="C2032" s="32"/>
      <c r="D2032" s="32"/>
      <c r="G2032" s="23"/>
    </row>
    <row r="2033" spans="1:7">
      <c r="A2033" s="38"/>
      <c r="B2033" s="39"/>
      <c r="C2033" s="32"/>
      <c r="D2033" s="32"/>
      <c r="G2033" s="23"/>
    </row>
    <row r="2034" spans="1:7">
      <c r="A2034" s="38"/>
      <c r="B2034" s="39"/>
      <c r="C2034" s="32"/>
      <c r="D2034" s="32"/>
      <c r="G2034" s="23"/>
    </row>
    <row r="2035" spans="1:7">
      <c r="A2035" s="38"/>
      <c r="B2035" s="39"/>
      <c r="C2035" s="32"/>
      <c r="D2035" s="32"/>
      <c r="G2035" s="23"/>
    </row>
    <row r="2036" spans="1:7">
      <c r="A2036" s="38"/>
      <c r="B2036" s="39"/>
      <c r="C2036" s="32"/>
      <c r="D2036" s="32"/>
      <c r="G2036" s="23"/>
    </row>
    <row r="2037" spans="1:7">
      <c r="A2037" s="38"/>
      <c r="B2037" s="39"/>
      <c r="C2037" s="32"/>
      <c r="D2037" s="32"/>
      <c r="G2037" s="23"/>
    </row>
    <row r="2038" spans="1:7">
      <c r="A2038" s="38"/>
      <c r="B2038" s="39"/>
      <c r="C2038" s="32"/>
      <c r="D2038" s="32"/>
      <c r="G2038" s="23"/>
    </row>
    <row r="2039" spans="1:7">
      <c r="A2039" s="38"/>
      <c r="B2039" s="39"/>
      <c r="C2039" s="32"/>
      <c r="D2039" s="32"/>
      <c r="G2039" s="23"/>
    </row>
    <row r="2040" spans="1:7">
      <c r="A2040" s="38"/>
      <c r="B2040" s="39"/>
      <c r="C2040" s="32"/>
      <c r="D2040" s="32"/>
      <c r="G2040" s="23"/>
    </row>
    <row r="2041" spans="1:7">
      <c r="A2041" s="38"/>
      <c r="B2041" s="39"/>
      <c r="C2041" s="32"/>
      <c r="D2041" s="32"/>
      <c r="G2041" s="23"/>
    </row>
    <row r="2042" spans="1:7">
      <c r="A2042" s="38"/>
      <c r="B2042" s="39"/>
      <c r="C2042" s="32"/>
      <c r="D2042" s="32"/>
      <c r="G2042" s="23"/>
    </row>
    <row r="2043" spans="1:7">
      <c r="A2043" s="38"/>
      <c r="B2043" s="39"/>
      <c r="C2043" s="32"/>
      <c r="D2043" s="32"/>
      <c r="G2043" s="23"/>
    </row>
    <row r="2044" spans="1:7">
      <c r="A2044" s="38"/>
      <c r="B2044" s="39"/>
      <c r="C2044" s="32"/>
      <c r="D2044" s="32"/>
      <c r="G2044" s="23"/>
    </row>
    <row r="2045" spans="1:7">
      <c r="A2045" s="38"/>
      <c r="B2045" s="39"/>
      <c r="C2045" s="32"/>
      <c r="D2045" s="32"/>
      <c r="G2045" s="23"/>
    </row>
    <row r="2046" spans="1:7">
      <c r="A2046" s="38"/>
      <c r="B2046" s="39"/>
      <c r="C2046" s="32"/>
      <c r="D2046" s="32"/>
      <c r="G2046" s="23"/>
    </row>
    <row r="2047" spans="1:7">
      <c r="A2047" s="38"/>
      <c r="B2047" s="39"/>
      <c r="C2047" s="32"/>
      <c r="D2047" s="32"/>
      <c r="G2047" s="23"/>
    </row>
    <row r="2048" spans="1:7">
      <c r="A2048" s="38"/>
      <c r="B2048" s="39"/>
      <c r="C2048" s="32"/>
      <c r="D2048" s="32"/>
      <c r="G2048" s="23"/>
    </row>
    <row r="2049" spans="1:7">
      <c r="A2049" s="38"/>
      <c r="B2049" s="39"/>
      <c r="C2049" s="32"/>
      <c r="D2049" s="32"/>
      <c r="G2049" s="23"/>
    </row>
    <row r="2050" spans="1:7">
      <c r="A2050" s="38"/>
      <c r="B2050" s="39"/>
      <c r="C2050" s="32"/>
      <c r="D2050" s="32"/>
      <c r="G2050" s="23"/>
    </row>
    <row r="2051" spans="1:7">
      <c r="A2051" s="38"/>
      <c r="B2051" s="39"/>
      <c r="C2051" s="32"/>
      <c r="D2051" s="32"/>
      <c r="G2051" s="23"/>
    </row>
    <row r="2052" spans="1:7">
      <c r="A2052" s="38"/>
      <c r="B2052" s="39"/>
      <c r="C2052" s="32"/>
      <c r="D2052" s="32"/>
      <c r="G2052" s="23"/>
    </row>
    <row r="2053" spans="1:7">
      <c r="A2053" s="38"/>
      <c r="B2053" s="39"/>
      <c r="C2053" s="32"/>
      <c r="D2053" s="32"/>
      <c r="G2053" s="23"/>
    </row>
    <row r="2054" spans="1:7">
      <c r="A2054" s="38"/>
      <c r="B2054" s="39"/>
      <c r="C2054" s="32"/>
      <c r="D2054" s="32"/>
      <c r="G2054" s="23"/>
    </row>
    <row r="2055" spans="1:7">
      <c r="A2055" s="38"/>
      <c r="B2055" s="39"/>
      <c r="C2055" s="32"/>
      <c r="D2055" s="32"/>
      <c r="G2055" s="23"/>
    </row>
    <row r="2056" spans="1:7">
      <c r="A2056" s="38"/>
      <c r="B2056" s="39"/>
      <c r="C2056" s="32"/>
      <c r="D2056" s="32"/>
      <c r="G2056" s="23"/>
    </row>
    <row r="2057" spans="1:7">
      <c r="A2057" s="38"/>
      <c r="B2057" s="39"/>
      <c r="C2057" s="32"/>
      <c r="D2057" s="32"/>
      <c r="G2057" s="23"/>
    </row>
    <row r="2058" spans="1:7">
      <c r="A2058" s="38"/>
      <c r="B2058" s="39"/>
      <c r="C2058" s="32"/>
      <c r="D2058" s="32"/>
      <c r="G2058" s="23"/>
    </row>
    <row r="2059" spans="1:7">
      <c r="A2059" s="38"/>
      <c r="B2059" s="39"/>
      <c r="C2059" s="32"/>
      <c r="D2059" s="32"/>
      <c r="G2059" s="23"/>
    </row>
    <row r="2060" spans="1:7">
      <c r="A2060" s="38"/>
      <c r="B2060" s="39"/>
      <c r="C2060" s="32"/>
      <c r="D2060" s="32"/>
      <c r="G2060" s="23"/>
    </row>
    <row r="2061" spans="1:7">
      <c r="A2061" s="38"/>
      <c r="B2061" s="39"/>
      <c r="C2061" s="32"/>
      <c r="D2061" s="32"/>
      <c r="G2061" s="23"/>
    </row>
    <row r="2062" spans="1:7">
      <c r="A2062" s="38"/>
      <c r="B2062" s="39"/>
      <c r="C2062" s="32"/>
      <c r="D2062" s="32"/>
      <c r="G2062" s="23"/>
    </row>
    <row r="2063" spans="1:7">
      <c r="A2063" s="38"/>
      <c r="B2063" s="39"/>
      <c r="C2063" s="32"/>
      <c r="D2063" s="32"/>
      <c r="G2063" s="23"/>
    </row>
    <row r="2064" spans="1:7">
      <c r="A2064" s="38"/>
      <c r="B2064" s="39"/>
      <c r="C2064" s="32"/>
      <c r="D2064" s="32"/>
      <c r="G2064" s="23"/>
    </row>
    <row r="2065" spans="1:7">
      <c r="A2065" s="38"/>
      <c r="B2065" s="39"/>
      <c r="C2065" s="32"/>
      <c r="D2065" s="32"/>
      <c r="G2065" s="23"/>
    </row>
    <row r="2066" spans="1:7">
      <c r="A2066" s="38"/>
      <c r="B2066" s="39"/>
      <c r="C2066" s="32"/>
      <c r="D2066" s="32"/>
      <c r="G2066" s="23"/>
    </row>
    <row r="2067" spans="1:7">
      <c r="A2067" s="38"/>
      <c r="B2067" s="39"/>
      <c r="C2067" s="32"/>
      <c r="D2067" s="32"/>
      <c r="G2067" s="23"/>
    </row>
    <row r="2068" spans="1:7">
      <c r="A2068" s="38"/>
      <c r="B2068" s="39"/>
      <c r="C2068" s="32"/>
      <c r="D2068" s="32"/>
      <c r="G2068" s="23"/>
    </row>
    <row r="2069" spans="1:7">
      <c r="A2069" s="38"/>
      <c r="B2069" s="39"/>
      <c r="C2069" s="32"/>
      <c r="D2069" s="32"/>
      <c r="G2069" s="23"/>
    </row>
    <row r="2070" spans="1:7">
      <c r="A2070" s="38"/>
      <c r="B2070" s="39"/>
      <c r="C2070" s="32"/>
      <c r="D2070" s="32"/>
      <c r="G2070" s="23"/>
    </row>
    <row r="2071" spans="1:7">
      <c r="A2071" s="38"/>
      <c r="B2071" s="39"/>
      <c r="C2071" s="32"/>
      <c r="D2071" s="32"/>
      <c r="G2071" s="23"/>
    </row>
    <row r="2072" spans="1:7">
      <c r="A2072" s="38"/>
      <c r="B2072" s="39"/>
      <c r="C2072" s="32"/>
      <c r="D2072" s="32"/>
      <c r="G2072" s="23"/>
    </row>
    <row r="2073" spans="1:7">
      <c r="A2073" s="38"/>
      <c r="B2073" s="39"/>
      <c r="C2073" s="32"/>
      <c r="D2073" s="32"/>
      <c r="G2073" s="23"/>
    </row>
    <row r="2074" spans="1:7">
      <c r="A2074" s="38"/>
      <c r="B2074" s="39"/>
      <c r="C2074" s="32"/>
      <c r="D2074" s="32"/>
      <c r="G2074" s="23"/>
    </row>
    <row r="2075" spans="1:7">
      <c r="A2075" s="38"/>
      <c r="B2075" s="39"/>
      <c r="C2075" s="32"/>
      <c r="D2075" s="32"/>
      <c r="G2075" s="23"/>
    </row>
    <row r="2076" spans="1:7">
      <c r="A2076" s="38"/>
      <c r="B2076" s="39"/>
      <c r="C2076" s="32"/>
      <c r="D2076" s="32"/>
      <c r="G2076" s="23"/>
    </row>
    <row r="2077" spans="1:7">
      <c r="A2077" s="38"/>
      <c r="B2077" s="39"/>
      <c r="C2077" s="32"/>
      <c r="D2077" s="32"/>
      <c r="G2077" s="23"/>
    </row>
    <row r="2078" spans="1:7">
      <c r="A2078" s="38"/>
      <c r="B2078" s="39"/>
      <c r="C2078" s="32"/>
      <c r="D2078" s="32"/>
      <c r="G2078" s="23"/>
    </row>
    <row r="2079" spans="1:7">
      <c r="A2079" s="38"/>
      <c r="B2079" s="39"/>
      <c r="C2079" s="32"/>
      <c r="D2079" s="32"/>
      <c r="G2079" s="23"/>
    </row>
    <row r="2080" spans="1:7">
      <c r="A2080" s="38"/>
      <c r="B2080" s="39"/>
      <c r="C2080" s="32"/>
      <c r="D2080" s="32"/>
      <c r="G2080" s="23"/>
    </row>
    <row r="2081" spans="1:7">
      <c r="A2081" s="38"/>
      <c r="B2081" s="39"/>
      <c r="C2081" s="32"/>
      <c r="D2081" s="32"/>
      <c r="G2081" s="23"/>
    </row>
    <row r="2082" spans="1:7">
      <c r="A2082" s="38"/>
      <c r="B2082" s="39"/>
      <c r="C2082" s="32"/>
      <c r="D2082" s="32"/>
      <c r="G2082" s="23"/>
    </row>
    <row r="2083" spans="1:7">
      <c r="A2083" s="38"/>
      <c r="B2083" s="39"/>
      <c r="C2083" s="32"/>
      <c r="D2083" s="32"/>
      <c r="G2083" s="23"/>
    </row>
    <row r="2084" spans="1:7">
      <c r="A2084" s="38"/>
      <c r="B2084" s="39"/>
      <c r="C2084" s="32"/>
      <c r="D2084" s="32"/>
      <c r="G2084" s="23"/>
    </row>
    <row r="2085" spans="1:7">
      <c r="A2085" s="38"/>
      <c r="B2085" s="39"/>
      <c r="C2085" s="32"/>
      <c r="D2085" s="32"/>
      <c r="G2085" s="23"/>
    </row>
    <row r="2086" spans="1:7">
      <c r="A2086" s="38"/>
      <c r="B2086" s="39"/>
      <c r="C2086" s="32"/>
      <c r="D2086" s="32"/>
      <c r="G2086" s="23"/>
    </row>
    <row r="2087" spans="1:7">
      <c r="A2087" s="38"/>
      <c r="B2087" s="39"/>
      <c r="C2087" s="32"/>
      <c r="D2087" s="32"/>
      <c r="G2087" s="23"/>
    </row>
    <row r="2088" spans="1:7">
      <c r="A2088" s="38"/>
      <c r="B2088" s="39"/>
      <c r="C2088" s="32"/>
      <c r="D2088" s="32"/>
      <c r="G2088" s="23"/>
    </row>
    <row r="2089" spans="1:7">
      <c r="A2089" s="38"/>
      <c r="B2089" s="39"/>
      <c r="C2089" s="32"/>
      <c r="D2089" s="32"/>
      <c r="G2089" s="23"/>
    </row>
    <row r="2090" spans="1:7">
      <c r="A2090" s="38"/>
      <c r="B2090" s="39"/>
      <c r="C2090" s="32"/>
      <c r="D2090" s="32"/>
      <c r="G2090" s="23"/>
    </row>
    <row r="2091" spans="1:7">
      <c r="A2091" s="38"/>
      <c r="B2091" s="39"/>
      <c r="C2091" s="32"/>
      <c r="D2091" s="32"/>
      <c r="G2091" s="23"/>
    </row>
    <row r="2092" spans="1:7">
      <c r="A2092" s="38"/>
      <c r="B2092" s="39"/>
      <c r="C2092" s="32"/>
      <c r="D2092" s="32"/>
      <c r="G2092" s="23"/>
    </row>
    <row r="2093" spans="1:7">
      <c r="A2093" s="38"/>
      <c r="B2093" s="39"/>
      <c r="C2093" s="32"/>
      <c r="D2093" s="32"/>
      <c r="G2093" s="23"/>
    </row>
    <row r="2094" spans="1:7">
      <c r="A2094" s="38"/>
      <c r="B2094" s="39"/>
      <c r="C2094" s="32"/>
      <c r="D2094" s="32"/>
      <c r="G2094" s="23"/>
    </row>
    <row r="2095" spans="1:7">
      <c r="A2095" s="38"/>
      <c r="B2095" s="39"/>
      <c r="C2095" s="32"/>
      <c r="D2095" s="32"/>
      <c r="G2095" s="23"/>
    </row>
    <row r="2096" spans="1:7">
      <c r="A2096" s="38"/>
      <c r="B2096" s="39"/>
      <c r="C2096" s="32"/>
      <c r="D2096" s="32"/>
      <c r="G2096" s="23"/>
    </row>
    <row r="2097" spans="1:7">
      <c r="A2097" s="38"/>
      <c r="B2097" s="39"/>
      <c r="C2097" s="32"/>
      <c r="D2097" s="32"/>
      <c r="G2097" s="23"/>
    </row>
    <row r="2098" spans="1:7">
      <c r="A2098" s="38"/>
      <c r="B2098" s="39"/>
      <c r="C2098" s="32"/>
      <c r="D2098" s="32"/>
      <c r="G2098" s="23"/>
    </row>
    <row r="2099" spans="1:7">
      <c r="A2099" s="38"/>
      <c r="B2099" s="39"/>
      <c r="C2099" s="32"/>
      <c r="D2099" s="32"/>
      <c r="G2099" s="23"/>
    </row>
    <row r="2100" spans="1:7">
      <c r="A2100" s="38"/>
      <c r="B2100" s="39"/>
      <c r="C2100" s="32"/>
      <c r="D2100" s="32"/>
      <c r="G2100" s="23"/>
    </row>
    <row r="2101" spans="1:7">
      <c r="A2101" s="38"/>
      <c r="B2101" s="39"/>
      <c r="C2101" s="32"/>
      <c r="D2101" s="32"/>
      <c r="G2101" s="23"/>
    </row>
    <row r="2102" spans="1:7">
      <c r="A2102" s="38"/>
      <c r="B2102" s="39"/>
      <c r="C2102" s="32"/>
      <c r="D2102" s="32"/>
      <c r="G2102" s="23"/>
    </row>
    <row r="2103" spans="1:7">
      <c r="A2103" s="38"/>
      <c r="B2103" s="39"/>
      <c r="C2103" s="32"/>
      <c r="D2103" s="32"/>
      <c r="G2103" s="23"/>
    </row>
    <row r="2104" spans="1:7">
      <c r="A2104" s="38"/>
      <c r="B2104" s="39"/>
      <c r="C2104" s="32"/>
      <c r="D2104" s="32"/>
      <c r="G2104" s="23"/>
    </row>
    <row r="2105" spans="1:7">
      <c r="A2105" s="38"/>
      <c r="B2105" s="39"/>
      <c r="C2105" s="32"/>
      <c r="D2105" s="32"/>
      <c r="G2105" s="23"/>
    </row>
    <row r="2106" spans="1:7">
      <c r="A2106" s="38"/>
      <c r="B2106" s="39"/>
      <c r="C2106" s="32"/>
      <c r="D2106" s="32"/>
      <c r="G2106" s="23"/>
    </row>
    <row r="2107" spans="1:7">
      <c r="A2107" s="38"/>
      <c r="B2107" s="39"/>
      <c r="C2107" s="32"/>
      <c r="D2107" s="32"/>
      <c r="G2107" s="23"/>
    </row>
    <row r="2108" spans="1:7">
      <c r="A2108" s="38"/>
      <c r="B2108" s="39"/>
      <c r="C2108" s="32"/>
      <c r="D2108" s="32"/>
      <c r="G2108" s="23"/>
    </row>
    <row r="2109" spans="1:7">
      <c r="A2109" s="38"/>
      <c r="B2109" s="39"/>
      <c r="C2109" s="32"/>
      <c r="D2109" s="32"/>
      <c r="G2109" s="23"/>
    </row>
    <row r="2110" spans="1:7">
      <c r="A2110" s="38"/>
      <c r="B2110" s="39"/>
      <c r="C2110" s="32"/>
      <c r="D2110" s="32"/>
      <c r="G2110" s="23"/>
    </row>
    <row r="2111" spans="1:7">
      <c r="A2111" s="38"/>
      <c r="B2111" s="39"/>
      <c r="C2111" s="32"/>
      <c r="D2111" s="32"/>
      <c r="G2111" s="23"/>
    </row>
    <row r="2112" spans="1:7">
      <c r="A2112" s="38"/>
      <c r="B2112" s="39"/>
      <c r="C2112" s="32"/>
      <c r="D2112" s="32"/>
      <c r="G2112" s="23"/>
    </row>
    <row r="2113" spans="1:7">
      <c r="A2113" s="38"/>
      <c r="B2113" s="39"/>
      <c r="C2113" s="32"/>
      <c r="D2113" s="32"/>
      <c r="G2113" s="23"/>
    </row>
    <row r="2114" spans="1:7">
      <c r="A2114" s="38"/>
      <c r="B2114" s="39"/>
      <c r="C2114" s="32"/>
      <c r="D2114" s="32"/>
      <c r="G2114" s="23"/>
    </row>
    <row r="2115" spans="1:7">
      <c r="A2115" s="38"/>
      <c r="B2115" s="39"/>
      <c r="C2115" s="32"/>
      <c r="D2115" s="32"/>
      <c r="G2115" s="23"/>
    </row>
    <row r="2116" spans="1:7">
      <c r="A2116" s="38"/>
      <c r="B2116" s="39"/>
      <c r="C2116" s="32"/>
      <c r="D2116" s="32"/>
      <c r="G2116" s="23"/>
    </row>
    <row r="2117" spans="1:7">
      <c r="A2117" s="38"/>
      <c r="B2117" s="39"/>
      <c r="C2117" s="32"/>
      <c r="D2117" s="32"/>
      <c r="G2117" s="23"/>
    </row>
    <row r="2118" spans="1:7">
      <c r="A2118" s="38"/>
      <c r="B2118" s="39"/>
      <c r="C2118" s="32"/>
      <c r="D2118" s="32"/>
      <c r="G2118" s="23"/>
    </row>
    <row r="2119" spans="1:7">
      <c r="A2119" s="38"/>
      <c r="B2119" s="39"/>
      <c r="C2119" s="32"/>
      <c r="D2119" s="32"/>
      <c r="G2119" s="23"/>
    </row>
    <row r="2120" spans="1:7">
      <c r="A2120" s="38"/>
      <c r="B2120" s="39"/>
      <c r="C2120" s="32"/>
      <c r="D2120" s="32"/>
      <c r="G2120" s="23"/>
    </row>
    <row r="2121" spans="1:7">
      <c r="A2121" s="38"/>
      <c r="B2121" s="39"/>
      <c r="C2121" s="32"/>
      <c r="D2121" s="32"/>
      <c r="G2121" s="23"/>
    </row>
    <row r="2122" spans="1:7">
      <c r="A2122" s="38"/>
      <c r="B2122" s="39"/>
      <c r="C2122" s="32"/>
      <c r="D2122" s="32"/>
      <c r="G2122" s="23"/>
    </row>
    <row r="2123" spans="1:7">
      <c r="A2123" s="38"/>
      <c r="B2123" s="39"/>
      <c r="C2123" s="32"/>
      <c r="D2123" s="32"/>
      <c r="G2123" s="23"/>
    </row>
    <row r="2124" spans="1:7">
      <c r="A2124" s="38"/>
      <c r="B2124" s="39"/>
      <c r="C2124" s="32"/>
      <c r="D2124" s="32"/>
      <c r="G2124" s="23"/>
    </row>
    <row r="2125" spans="1:7">
      <c r="A2125" s="38"/>
      <c r="B2125" s="39"/>
      <c r="C2125" s="32"/>
      <c r="D2125" s="32"/>
      <c r="G2125" s="23"/>
    </row>
    <row r="2126" spans="1:7">
      <c r="A2126" s="38"/>
      <c r="B2126" s="39"/>
      <c r="C2126" s="32"/>
      <c r="D2126" s="32"/>
      <c r="G2126" s="23"/>
    </row>
    <row r="2127" spans="1:7">
      <c r="A2127" s="38"/>
      <c r="B2127" s="39"/>
      <c r="C2127" s="32"/>
      <c r="D2127" s="32"/>
      <c r="G2127" s="23"/>
    </row>
    <row r="2128" spans="1:7">
      <c r="A2128" s="38"/>
      <c r="B2128" s="39"/>
      <c r="C2128" s="32"/>
      <c r="D2128" s="32"/>
      <c r="G2128" s="23"/>
    </row>
    <row r="2129" spans="1:7">
      <c r="A2129" s="38"/>
      <c r="B2129" s="39"/>
      <c r="C2129" s="32"/>
      <c r="D2129" s="32"/>
      <c r="G2129" s="23"/>
    </row>
    <row r="2130" spans="1:7">
      <c r="A2130" s="38"/>
      <c r="B2130" s="39"/>
      <c r="C2130" s="32"/>
      <c r="D2130" s="32"/>
      <c r="G2130" s="23"/>
    </row>
    <row r="2131" spans="1:7">
      <c r="A2131" s="38"/>
      <c r="B2131" s="39"/>
      <c r="C2131" s="32"/>
      <c r="D2131" s="32"/>
      <c r="G2131" s="23"/>
    </row>
    <row r="2132" spans="1:7">
      <c r="A2132" s="38"/>
      <c r="B2132" s="39"/>
      <c r="C2132" s="32"/>
      <c r="D2132" s="32"/>
      <c r="G2132" s="23"/>
    </row>
    <row r="2133" spans="1:7">
      <c r="A2133" s="38"/>
      <c r="B2133" s="39"/>
      <c r="C2133" s="32"/>
      <c r="D2133" s="32"/>
      <c r="G2133" s="23"/>
    </row>
    <row r="2134" spans="1:7">
      <c r="A2134" s="38"/>
      <c r="B2134" s="39"/>
      <c r="C2134" s="32"/>
      <c r="D2134" s="32"/>
      <c r="G2134" s="23"/>
    </row>
    <row r="2135" spans="1:7">
      <c r="A2135" s="38"/>
      <c r="B2135" s="39"/>
      <c r="C2135" s="32"/>
      <c r="D2135" s="32"/>
      <c r="G2135" s="23"/>
    </row>
    <row r="2136" spans="1:7">
      <c r="A2136" s="38"/>
      <c r="B2136" s="39"/>
      <c r="C2136" s="32"/>
      <c r="D2136" s="32"/>
      <c r="G2136" s="23"/>
    </row>
    <row r="2137" spans="1:7">
      <c r="A2137" s="38"/>
      <c r="B2137" s="39"/>
      <c r="C2137" s="32"/>
      <c r="D2137" s="32"/>
      <c r="G2137" s="23"/>
    </row>
    <row r="2138" spans="1:7">
      <c r="A2138" s="38"/>
      <c r="B2138" s="39"/>
      <c r="C2138" s="32"/>
      <c r="D2138" s="32"/>
      <c r="G2138" s="23"/>
    </row>
    <row r="2139" spans="1:7">
      <c r="A2139" s="38"/>
      <c r="B2139" s="39"/>
      <c r="C2139" s="32"/>
      <c r="D2139" s="32"/>
      <c r="G2139" s="23"/>
    </row>
    <row r="2140" spans="1:7">
      <c r="A2140" s="38"/>
      <c r="B2140" s="39"/>
      <c r="C2140" s="32"/>
      <c r="D2140" s="32"/>
      <c r="G2140" s="23"/>
    </row>
    <row r="2141" spans="1:7">
      <c r="A2141" s="38"/>
      <c r="B2141" s="39"/>
      <c r="C2141" s="32"/>
      <c r="D2141" s="32"/>
      <c r="G2141" s="23"/>
    </row>
    <row r="2142" spans="1:7">
      <c r="A2142" s="38"/>
      <c r="B2142" s="39"/>
      <c r="C2142" s="32"/>
      <c r="D2142" s="32"/>
      <c r="G2142" s="23"/>
    </row>
    <row r="2143" spans="1:7">
      <c r="A2143" s="38"/>
      <c r="B2143" s="39"/>
      <c r="C2143" s="32"/>
      <c r="D2143" s="32"/>
      <c r="G2143" s="23"/>
    </row>
    <row r="2144" spans="1:7">
      <c r="A2144" s="38"/>
      <c r="B2144" s="39"/>
      <c r="C2144" s="32"/>
      <c r="D2144" s="32"/>
      <c r="G2144" s="23"/>
    </row>
    <row r="2145" spans="1:7">
      <c r="A2145" s="38"/>
      <c r="B2145" s="39"/>
      <c r="C2145" s="32"/>
      <c r="D2145" s="32"/>
      <c r="G2145" s="23"/>
    </row>
    <row r="2146" spans="1:7">
      <c r="A2146" s="38"/>
      <c r="B2146" s="39"/>
      <c r="C2146" s="32"/>
      <c r="D2146" s="32"/>
      <c r="G2146" s="23"/>
    </row>
    <row r="2147" spans="1:7">
      <c r="A2147" s="38"/>
      <c r="B2147" s="39"/>
      <c r="C2147" s="32"/>
      <c r="D2147" s="32"/>
      <c r="G2147" s="23"/>
    </row>
    <row r="2148" spans="1:7">
      <c r="A2148" s="38"/>
      <c r="B2148" s="39"/>
      <c r="C2148" s="32"/>
      <c r="D2148" s="32"/>
      <c r="G2148" s="23"/>
    </row>
    <row r="2149" spans="1:7">
      <c r="A2149" s="38"/>
      <c r="B2149" s="39"/>
      <c r="C2149" s="32"/>
      <c r="D2149" s="32"/>
      <c r="G2149" s="23"/>
    </row>
    <row r="2150" spans="1:7">
      <c r="A2150" s="38"/>
      <c r="B2150" s="39"/>
      <c r="C2150" s="32"/>
      <c r="D2150" s="32"/>
      <c r="G2150" s="23"/>
    </row>
    <row r="2151" spans="1:7">
      <c r="A2151" s="38"/>
      <c r="B2151" s="39"/>
      <c r="C2151" s="32"/>
      <c r="D2151" s="32"/>
      <c r="G2151" s="23"/>
    </row>
    <row r="2152" spans="1:7">
      <c r="A2152" s="38"/>
      <c r="B2152" s="39"/>
      <c r="C2152" s="32"/>
      <c r="D2152" s="32"/>
      <c r="G2152" s="23"/>
    </row>
    <row r="2153" spans="1:7">
      <c r="A2153" s="38"/>
      <c r="B2153" s="39"/>
      <c r="C2153" s="32"/>
      <c r="D2153" s="32"/>
      <c r="G2153" s="23"/>
    </row>
    <row r="2154" spans="1:7">
      <c r="A2154" s="38"/>
      <c r="B2154" s="39"/>
      <c r="C2154" s="32"/>
      <c r="D2154" s="32"/>
      <c r="G2154" s="23"/>
    </row>
    <row r="2155" spans="1:7">
      <c r="A2155" s="38"/>
      <c r="B2155" s="39"/>
      <c r="C2155" s="32"/>
      <c r="D2155" s="32"/>
      <c r="G2155" s="23"/>
    </row>
    <row r="2156" spans="1:7">
      <c r="A2156" s="38"/>
      <c r="B2156" s="39"/>
      <c r="C2156" s="32"/>
      <c r="D2156" s="32"/>
      <c r="G2156" s="23"/>
    </row>
    <row r="2157" spans="1:7">
      <c r="A2157" s="38"/>
      <c r="B2157" s="39"/>
      <c r="C2157" s="32"/>
      <c r="D2157" s="32"/>
      <c r="G2157" s="23"/>
    </row>
    <row r="2158" spans="1:7">
      <c r="A2158" s="38"/>
      <c r="B2158" s="39"/>
      <c r="C2158" s="32"/>
      <c r="D2158" s="32"/>
      <c r="G2158" s="23"/>
    </row>
    <row r="2159" spans="1:7">
      <c r="A2159" s="38"/>
      <c r="B2159" s="39"/>
      <c r="C2159" s="32"/>
      <c r="D2159" s="32"/>
      <c r="G2159" s="23"/>
    </row>
    <row r="2160" spans="1:7">
      <c r="A2160" s="38"/>
      <c r="B2160" s="39"/>
      <c r="C2160" s="32"/>
      <c r="D2160" s="32"/>
      <c r="G2160" s="23"/>
    </row>
    <row r="2161" spans="1:7">
      <c r="A2161" s="38"/>
      <c r="B2161" s="39"/>
      <c r="C2161" s="32"/>
      <c r="D2161" s="32"/>
      <c r="G2161" s="23"/>
    </row>
    <row r="2162" spans="1:7">
      <c r="A2162" s="38"/>
      <c r="B2162" s="39"/>
      <c r="C2162" s="32"/>
      <c r="D2162" s="32"/>
      <c r="G2162" s="23"/>
    </row>
    <row r="2163" spans="1:7">
      <c r="A2163" s="38"/>
      <c r="B2163" s="39"/>
      <c r="C2163" s="32"/>
      <c r="D2163" s="32"/>
      <c r="G2163" s="23"/>
    </row>
    <row r="2164" spans="1:7">
      <c r="A2164" s="38"/>
      <c r="B2164" s="39"/>
      <c r="C2164" s="32"/>
      <c r="D2164" s="32"/>
      <c r="G2164" s="23"/>
    </row>
    <row r="2165" spans="1:7">
      <c r="A2165" s="38"/>
      <c r="B2165" s="39"/>
      <c r="C2165" s="32"/>
      <c r="D2165" s="32"/>
      <c r="G2165" s="23"/>
    </row>
    <row r="2166" spans="1:7">
      <c r="A2166" s="38"/>
      <c r="B2166" s="39"/>
      <c r="C2166" s="32"/>
      <c r="D2166" s="32"/>
      <c r="G2166" s="23"/>
    </row>
    <row r="2167" spans="1:7">
      <c r="A2167" s="38"/>
      <c r="B2167" s="39"/>
      <c r="C2167" s="32"/>
      <c r="D2167" s="32"/>
      <c r="G2167" s="23"/>
    </row>
    <row r="2168" spans="1:7">
      <c r="A2168" s="38"/>
      <c r="B2168" s="39"/>
      <c r="C2168" s="32"/>
      <c r="D2168" s="32"/>
      <c r="G2168" s="23"/>
    </row>
    <row r="2169" spans="1:7">
      <c r="A2169" s="38"/>
      <c r="B2169" s="39"/>
      <c r="C2169" s="32"/>
      <c r="D2169" s="32"/>
      <c r="G2169" s="23"/>
    </row>
    <row r="2170" spans="1:7">
      <c r="A2170" s="38"/>
      <c r="B2170" s="39"/>
      <c r="C2170" s="32"/>
      <c r="D2170" s="32"/>
      <c r="G2170" s="23"/>
    </row>
    <row r="2171" spans="1:7">
      <c r="A2171" s="38"/>
      <c r="B2171" s="39"/>
      <c r="C2171" s="32"/>
      <c r="D2171" s="32"/>
      <c r="G2171" s="23"/>
    </row>
    <row r="2172" spans="1:7">
      <c r="A2172" s="38"/>
      <c r="B2172" s="39"/>
      <c r="C2172" s="32"/>
      <c r="D2172" s="32"/>
      <c r="G2172" s="23"/>
    </row>
    <row r="2173" spans="1:7">
      <c r="A2173" s="38"/>
      <c r="B2173" s="39"/>
      <c r="C2173" s="32"/>
      <c r="D2173" s="32"/>
      <c r="G2173" s="23"/>
    </row>
    <row r="2174" spans="1:7">
      <c r="A2174" s="38"/>
      <c r="B2174" s="39"/>
      <c r="C2174" s="32"/>
      <c r="D2174" s="32"/>
      <c r="G2174" s="23"/>
    </row>
    <row r="2175" spans="1:7">
      <c r="A2175" s="38"/>
      <c r="B2175" s="39"/>
      <c r="C2175" s="32"/>
      <c r="D2175" s="32"/>
      <c r="G2175" s="23"/>
    </row>
    <row r="2176" spans="1:7">
      <c r="A2176" s="38"/>
      <c r="B2176" s="39"/>
      <c r="C2176" s="32"/>
      <c r="D2176" s="32"/>
      <c r="G2176" s="23"/>
    </row>
    <row r="2177" spans="1:7">
      <c r="A2177" s="38"/>
      <c r="B2177" s="39"/>
      <c r="C2177" s="32"/>
      <c r="D2177" s="32"/>
      <c r="G2177" s="23"/>
    </row>
    <row r="2178" spans="1:7">
      <c r="A2178" s="38"/>
      <c r="B2178" s="39"/>
      <c r="C2178" s="32"/>
      <c r="D2178" s="32"/>
      <c r="G2178" s="23"/>
    </row>
    <row r="2179" spans="1:7">
      <c r="A2179" s="38"/>
      <c r="B2179" s="39"/>
      <c r="C2179" s="32"/>
      <c r="D2179" s="32"/>
      <c r="G2179" s="23"/>
    </row>
    <row r="2180" spans="1:7">
      <c r="A2180" s="38"/>
      <c r="B2180" s="39"/>
      <c r="C2180" s="32"/>
      <c r="D2180" s="32"/>
      <c r="G2180" s="23"/>
    </row>
    <row r="2181" spans="1:7">
      <c r="A2181" s="38"/>
      <c r="B2181" s="39"/>
      <c r="C2181" s="32"/>
      <c r="D2181" s="32"/>
      <c r="G2181" s="23"/>
    </row>
    <row r="2182" spans="1:7">
      <c r="A2182" s="38"/>
      <c r="B2182" s="39"/>
      <c r="C2182" s="32"/>
      <c r="D2182" s="32"/>
      <c r="G2182" s="23"/>
    </row>
    <row r="2183" spans="1:7">
      <c r="A2183" s="38"/>
      <c r="B2183" s="39"/>
      <c r="C2183" s="32"/>
      <c r="D2183" s="32"/>
      <c r="G2183" s="23"/>
    </row>
    <row r="2184" spans="1:7">
      <c r="A2184" s="38"/>
      <c r="B2184" s="39"/>
      <c r="C2184" s="32"/>
      <c r="D2184" s="32"/>
      <c r="G2184" s="23"/>
    </row>
    <row r="2185" spans="1:7">
      <c r="A2185" s="38"/>
      <c r="B2185" s="39"/>
      <c r="C2185" s="32"/>
      <c r="D2185" s="32"/>
      <c r="G2185" s="23"/>
    </row>
    <row r="2186" spans="1:7">
      <c r="A2186" s="38"/>
      <c r="B2186" s="39"/>
      <c r="C2186" s="32"/>
      <c r="D2186" s="32"/>
      <c r="G2186" s="23"/>
    </row>
    <row r="2187" spans="1:7">
      <c r="A2187" s="38"/>
      <c r="B2187" s="39"/>
      <c r="C2187" s="32"/>
      <c r="D2187" s="32"/>
      <c r="G2187" s="23"/>
    </row>
    <row r="2188" spans="1:7">
      <c r="A2188" s="38"/>
      <c r="B2188" s="39"/>
      <c r="C2188" s="32"/>
      <c r="D2188" s="32"/>
      <c r="G2188" s="23"/>
    </row>
    <row r="2189" spans="1:7">
      <c r="A2189" s="38"/>
      <c r="B2189" s="39"/>
      <c r="C2189" s="32"/>
      <c r="D2189" s="32"/>
      <c r="G2189" s="23"/>
    </row>
    <row r="2190" spans="1:7">
      <c r="A2190" s="38"/>
      <c r="B2190" s="39"/>
      <c r="C2190" s="32"/>
      <c r="D2190" s="32"/>
      <c r="G2190" s="23"/>
    </row>
    <row r="2191" spans="1:7">
      <c r="A2191" s="38"/>
      <c r="B2191" s="39"/>
      <c r="C2191" s="32"/>
      <c r="D2191" s="32"/>
      <c r="G2191" s="23"/>
    </row>
    <row r="2192" spans="1:7">
      <c r="A2192" s="38"/>
      <c r="B2192" s="39"/>
      <c r="C2192" s="32"/>
      <c r="D2192" s="32"/>
      <c r="G2192" s="23"/>
    </row>
    <row r="2193" spans="1:7">
      <c r="A2193" s="38"/>
      <c r="B2193" s="39"/>
      <c r="C2193" s="32"/>
      <c r="D2193" s="32"/>
      <c r="G2193" s="23"/>
    </row>
    <row r="2194" spans="1:7">
      <c r="A2194" s="38"/>
      <c r="B2194" s="39"/>
      <c r="C2194" s="32"/>
      <c r="D2194" s="32"/>
      <c r="G2194" s="23"/>
    </row>
    <row r="2195" spans="1:7">
      <c r="A2195" s="38"/>
      <c r="B2195" s="39"/>
      <c r="C2195" s="32"/>
      <c r="D2195" s="32"/>
      <c r="G2195" s="23"/>
    </row>
    <row r="2196" spans="1:7">
      <c r="A2196" s="38"/>
      <c r="B2196" s="39"/>
      <c r="C2196" s="32"/>
      <c r="D2196" s="32"/>
      <c r="G2196" s="23"/>
    </row>
    <row r="2197" spans="1:7">
      <c r="A2197" s="38"/>
      <c r="B2197" s="39"/>
      <c r="C2197" s="32"/>
      <c r="D2197" s="32"/>
      <c r="G2197" s="23"/>
    </row>
    <row r="2198" spans="1:7">
      <c r="A2198" s="38"/>
      <c r="B2198" s="39"/>
      <c r="C2198" s="32"/>
      <c r="D2198" s="32"/>
      <c r="G2198" s="23"/>
    </row>
    <row r="2199" spans="1:7">
      <c r="A2199" s="38"/>
      <c r="B2199" s="39"/>
      <c r="C2199" s="32"/>
      <c r="D2199" s="32"/>
      <c r="G2199" s="23"/>
    </row>
    <row r="2200" spans="1:7">
      <c r="A2200" s="38"/>
      <c r="B2200" s="39"/>
      <c r="C2200" s="32"/>
      <c r="D2200" s="32"/>
      <c r="G2200" s="23"/>
    </row>
    <row r="2201" spans="1:7">
      <c r="A2201" s="38"/>
      <c r="B2201" s="39"/>
      <c r="C2201" s="32"/>
      <c r="D2201" s="32"/>
      <c r="G2201" s="23"/>
    </row>
    <row r="2202" spans="1:7">
      <c r="A2202" s="38"/>
      <c r="B2202" s="39"/>
      <c r="C2202" s="32"/>
      <c r="D2202" s="32"/>
      <c r="G2202" s="23"/>
    </row>
    <row r="2203" spans="1:7">
      <c r="A2203" s="38"/>
      <c r="B2203" s="39"/>
      <c r="C2203" s="32"/>
      <c r="D2203" s="32"/>
      <c r="G2203" s="23"/>
    </row>
    <row r="2204" spans="1:7">
      <c r="A2204" s="38"/>
      <c r="B2204" s="39"/>
      <c r="C2204" s="32"/>
      <c r="D2204" s="32"/>
      <c r="G2204" s="23"/>
    </row>
    <row r="2205" spans="1:7">
      <c r="A2205" s="38"/>
      <c r="B2205" s="39"/>
      <c r="C2205" s="32"/>
      <c r="D2205" s="32"/>
      <c r="G2205" s="23"/>
    </row>
    <row r="2206" spans="1:7">
      <c r="A2206" s="38"/>
      <c r="B2206" s="39"/>
      <c r="C2206" s="32"/>
      <c r="D2206" s="32"/>
      <c r="G2206" s="23"/>
    </row>
    <row r="2207" spans="1:7">
      <c r="A2207" s="38"/>
      <c r="B2207" s="39"/>
      <c r="C2207" s="32"/>
      <c r="D2207" s="32"/>
      <c r="G2207" s="23"/>
    </row>
    <row r="2208" spans="1:7">
      <c r="A2208" s="38"/>
      <c r="B2208" s="39"/>
      <c r="C2208" s="32"/>
      <c r="D2208" s="32"/>
      <c r="G2208" s="23"/>
    </row>
    <row r="2209" spans="1:7">
      <c r="A2209" s="38"/>
      <c r="B2209" s="39"/>
      <c r="C2209" s="32"/>
      <c r="D2209" s="32"/>
      <c r="G2209" s="23"/>
    </row>
    <row r="2210" spans="1:7">
      <c r="A2210" s="38"/>
      <c r="B2210" s="39"/>
      <c r="C2210" s="32"/>
      <c r="D2210" s="32"/>
      <c r="G2210" s="23"/>
    </row>
    <row r="2211" spans="1:7">
      <c r="A2211" s="38"/>
      <c r="B2211" s="39"/>
      <c r="C2211" s="32"/>
      <c r="D2211" s="32"/>
      <c r="G2211" s="23"/>
    </row>
    <row r="2212" spans="1:7">
      <c r="A2212" s="38"/>
      <c r="B2212" s="39"/>
      <c r="C2212" s="32"/>
      <c r="D2212" s="32"/>
      <c r="G2212" s="23"/>
    </row>
    <row r="2213" spans="1:7">
      <c r="A2213" s="38"/>
      <c r="B2213" s="39"/>
      <c r="C2213" s="32"/>
      <c r="D2213" s="32"/>
      <c r="G2213" s="23"/>
    </row>
    <row r="2214" spans="1:7">
      <c r="A2214" s="38"/>
      <c r="B2214" s="39"/>
      <c r="C2214" s="32"/>
      <c r="D2214" s="32"/>
      <c r="G2214" s="23"/>
    </row>
    <row r="2215" spans="1:7">
      <c r="A2215" s="38"/>
      <c r="B2215" s="39"/>
      <c r="C2215" s="32"/>
      <c r="D2215" s="32"/>
      <c r="G2215" s="23"/>
    </row>
    <row r="2216" spans="1:7">
      <c r="A2216" s="38"/>
      <c r="B2216" s="39"/>
      <c r="C2216" s="32"/>
      <c r="D2216" s="32"/>
      <c r="G2216" s="23"/>
    </row>
    <row r="2217" spans="1:7">
      <c r="A2217" s="38"/>
      <c r="B2217" s="39"/>
      <c r="C2217" s="32"/>
      <c r="D2217" s="32"/>
      <c r="G2217" s="23"/>
    </row>
    <row r="2218" spans="1:7">
      <c r="A2218" s="38"/>
      <c r="B2218" s="39"/>
      <c r="C2218" s="32"/>
      <c r="D2218" s="32"/>
      <c r="G2218" s="23"/>
    </row>
    <row r="2219" spans="1:7">
      <c r="A2219" s="38"/>
      <c r="B2219" s="39"/>
      <c r="C2219" s="32"/>
      <c r="D2219" s="32"/>
      <c r="G2219" s="23"/>
    </row>
    <row r="2220" spans="1:7">
      <c r="A2220" s="38"/>
      <c r="B2220" s="39"/>
      <c r="C2220" s="32"/>
      <c r="D2220" s="32"/>
      <c r="G2220" s="23"/>
    </row>
    <row r="2221" spans="1:7">
      <c r="A2221" s="38"/>
      <c r="B2221" s="39"/>
      <c r="C2221" s="32"/>
      <c r="D2221" s="32"/>
      <c r="G2221" s="23"/>
    </row>
    <row r="2222" spans="1:7">
      <c r="A2222" s="38"/>
      <c r="B2222" s="39"/>
      <c r="C2222" s="32"/>
      <c r="D2222" s="32"/>
      <c r="G2222" s="23"/>
    </row>
    <row r="2223" spans="1:7">
      <c r="A2223" s="38"/>
      <c r="B2223" s="39"/>
      <c r="C2223" s="32"/>
      <c r="D2223" s="32"/>
      <c r="G2223" s="23"/>
    </row>
    <row r="2224" spans="1:7">
      <c r="A2224" s="38"/>
      <c r="B2224" s="39"/>
      <c r="C2224" s="32"/>
      <c r="D2224" s="32"/>
      <c r="G2224" s="23"/>
    </row>
    <row r="2225" spans="1:7">
      <c r="A2225" s="38"/>
      <c r="B2225" s="39"/>
      <c r="C2225" s="32"/>
      <c r="D2225" s="32"/>
      <c r="G2225" s="23"/>
    </row>
    <row r="2226" spans="1:7">
      <c r="A2226" s="38"/>
      <c r="B2226" s="39"/>
      <c r="C2226" s="32"/>
      <c r="D2226" s="32"/>
      <c r="G2226" s="23"/>
    </row>
    <row r="2227" spans="1:7">
      <c r="A2227" s="38"/>
      <c r="B2227" s="39"/>
      <c r="C2227" s="32"/>
      <c r="D2227" s="32"/>
      <c r="G2227" s="23"/>
    </row>
    <row r="2228" spans="1:7">
      <c r="A2228" s="38"/>
      <c r="B2228" s="39"/>
      <c r="C2228" s="32"/>
      <c r="D2228" s="32"/>
      <c r="G2228" s="23"/>
    </row>
    <row r="2229" spans="1:7">
      <c r="A2229" s="38"/>
      <c r="B2229" s="39"/>
      <c r="C2229" s="32"/>
      <c r="D2229" s="32"/>
      <c r="G2229" s="23"/>
    </row>
    <row r="2230" spans="1:7">
      <c r="A2230" s="38"/>
      <c r="B2230" s="39"/>
      <c r="C2230" s="32"/>
      <c r="D2230" s="32"/>
      <c r="G2230" s="23"/>
    </row>
    <row r="2231" spans="1:7">
      <c r="A2231" s="38"/>
      <c r="B2231" s="39"/>
      <c r="C2231" s="32"/>
      <c r="D2231" s="32"/>
      <c r="G2231" s="23"/>
    </row>
    <row r="2232" spans="1:7">
      <c r="A2232" s="38"/>
      <c r="B2232" s="39"/>
      <c r="C2232" s="32"/>
      <c r="D2232" s="32"/>
      <c r="G2232" s="23"/>
    </row>
    <row r="2233" spans="1:7">
      <c r="A2233" s="38"/>
      <c r="B2233" s="39"/>
      <c r="C2233" s="32"/>
      <c r="D2233" s="32"/>
      <c r="G2233" s="23"/>
    </row>
    <row r="2234" spans="1:7">
      <c r="A2234" s="38"/>
      <c r="B2234" s="39"/>
      <c r="C2234" s="32"/>
      <c r="D2234" s="32"/>
      <c r="G2234" s="23"/>
    </row>
    <row r="2235" spans="1:7">
      <c r="A2235" s="38"/>
      <c r="B2235" s="39"/>
      <c r="C2235" s="32"/>
      <c r="D2235" s="32"/>
      <c r="G2235" s="23"/>
    </row>
    <row r="2236" spans="1:7">
      <c r="A2236" s="38"/>
      <c r="B2236" s="39"/>
      <c r="C2236" s="32"/>
      <c r="D2236" s="32"/>
      <c r="G2236" s="23"/>
    </row>
    <row r="2237" spans="1:7">
      <c r="A2237" s="38"/>
      <c r="B2237" s="39"/>
      <c r="C2237" s="32"/>
      <c r="D2237" s="32"/>
      <c r="G2237" s="23"/>
    </row>
    <row r="2238" spans="1:7">
      <c r="A2238" s="38"/>
      <c r="B2238" s="39"/>
      <c r="C2238" s="32"/>
      <c r="D2238" s="32"/>
      <c r="G2238" s="23"/>
    </row>
    <row r="2239" spans="1:7">
      <c r="A2239" s="38"/>
      <c r="B2239" s="39"/>
      <c r="C2239" s="32"/>
      <c r="D2239" s="32"/>
      <c r="G2239" s="23"/>
    </row>
    <row r="2240" spans="1:7">
      <c r="A2240" s="38"/>
      <c r="B2240" s="39"/>
      <c r="C2240" s="32"/>
      <c r="D2240" s="32"/>
      <c r="G2240" s="23"/>
    </row>
    <row r="2241" spans="1:7">
      <c r="A2241" s="38"/>
      <c r="B2241" s="39"/>
      <c r="C2241" s="32"/>
      <c r="D2241" s="32"/>
      <c r="G2241" s="23"/>
    </row>
    <row r="2242" spans="1:7">
      <c r="A2242" s="38"/>
      <c r="B2242" s="39"/>
      <c r="C2242" s="32"/>
      <c r="D2242" s="32"/>
      <c r="G2242" s="23"/>
    </row>
    <row r="2243" spans="1:7">
      <c r="A2243" s="38"/>
      <c r="B2243" s="39"/>
      <c r="C2243" s="32"/>
      <c r="D2243" s="32"/>
      <c r="G2243" s="23"/>
    </row>
    <row r="2244" spans="1:7">
      <c r="A2244" s="38"/>
      <c r="B2244" s="39"/>
      <c r="C2244" s="32"/>
      <c r="D2244" s="32"/>
      <c r="G2244" s="23"/>
    </row>
    <row r="2245" spans="1:7">
      <c r="A2245" s="38"/>
      <c r="B2245" s="39"/>
      <c r="C2245" s="32"/>
      <c r="D2245" s="32"/>
      <c r="G2245" s="23"/>
    </row>
    <row r="2246" spans="1:7">
      <c r="A2246" s="38"/>
      <c r="B2246" s="39"/>
      <c r="C2246" s="32"/>
      <c r="D2246" s="32"/>
      <c r="G2246" s="23"/>
    </row>
    <row r="2247" spans="1:7">
      <c r="A2247" s="38"/>
      <c r="B2247" s="39"/>
      <c r="C2247" s="32"/>
      <c r="D2247" s="32"/>
      <c r="G2247" s="23"/>
    </row>
    <row r="2248" spans="1:7">
      <c r="A2248" s="38"/>
      <c r="B2248" s="39"/>
      <c r="C2248" s="32"/>
      <c r="D2248" s="32"/>
      <c r="G2248" s="23"/>
    </row>
    <row r="2249" spans="1:7">
      <c r="A2249" s="38"/>
      <c r="B2249" s="39"/>
      <c r="C2249" s="32"/>
      <c r="D2249" s="32"/>
      <c r="G2249" s="23"/>
    </row>
    <row r="2250" spans="1:7">
      <c r="A2250" s="38"/>
      <c r="B2250" s="39"/>
      <c r="C2250" s="32"/>
      <c r="D2250" s="32"/>
      <c r="G2250" s="23"/>
    </row>
    <row r="2251" spans="1:7">
      <c r="A2251" s="38"/>
      <c r="B2251" s="39"/>
      <c r="C2251" s="32"/>
      <c r="D2251" s="32"/>
      <c r="G2251" s="23"/>
    </row>
    <row r="2252" spans="1:7">
      <c r="A2252" s="38"/>
      <c r="B2252" s="39"/>
      <c r="C2252" s="32"/>
      <c r="D2252" s="32"/>
      <c r="G2252" s="23"/>
    </row>
    <row r="2253" spans="1:7">
      <c r="A2253" s="38"/>
      <c r="B2253" s="39"/>
      <c r="C2253" s="32"/>
      <c r="D2253" s="32"/>
      <c r="G2253" s="23"/>
    </row>
    <row r="2254" spans="1:7">
      <c r="A2254" s="38"/>
      <c r="B2254" s="39"/>
      <c r="C2254" s="32"/>
      <c r="D2254" s="32"/>
      <c r="G2254" s="23"/>
    </row>
    <row r="2255" spans="1:7">
      <c r="A2255" s="38"/>
      <c r="B2255" s="39"/>
      <c r="C2255" s="32"/>
      <c r="D2255" s="32"/>
      <c r="G2255" s="23"/>
    </row>
    <row r="2256" spans="1:7">
      <c r="A2256" s="38"/>
      <c r="B2256" s="39"/>
      <c r="C2256" s="32"/>
      <c r="D2256" s="32"/>
      <c r="G2256" s="23"/>
    </row>
    <row r="2257" spans="1:7">
      <c r="A2257" s="38"/>
      <c r="B2257" s="39"/>
      <c r="C2257" s="32"/>
      <c r="D2257" s="32"/>
      <c r="G2257" s="23"/>
    </row>
    <row r="2258" spans="1:7">
      <c r="A2258" s="38"/>
      <c r="B2258" s="39"/>
      <c r="C2258" s="32"/>
      <c r="D2258" s="32"/>
      <c r="G2258" s="23"/>
    </row>
    <row r="2259" spans="1:7">
      <c r="A2259" s="38"/>
      <c r="B2259" s="39"/>
      <c r="C2259" s="32"/>
      <c r="D2259" s="32"/>
      <c r="G2259" s="23"/>
    </row>
    <row r="2260" spans="1:7">
      <c r="A2260" s="38"/>
      <c r="B2260" s="39"/>
      <c r="C2260" s="32"/>
      <c r="D2260" s="32"/>
      <c r="G2260" s="23"/>
    </row>
    <row r="2261" spans="1:7">
      <c r="A2261" s="38"/>
      <c r="B2261" s="39"/>
      <c r="C2261" s="32"/>
      <c r="D2261" s="32"/>
      <c r="G2261" s="23"/>
    </row>
    <row r="2262" spans="1:7">
      <c r="A2262" s="38"/>
      <c r="B2262" s="39"/>
      <c r="C2262" s="32"/>
      <c r="D2262" s="32"/>
      <c r="G2262" s="23"/>
    </row>
    <row r="2263" spans="1:7">
      <c r="A2263" s="38"/>
      <c r="B2263" s="39"/>
      <c r="C2263" s="32"/>
      <c r="D2263" s="32"/>
      <c r="G2263" s="23"/>
    </row>
    <row r="2264" spans="1:7">
      <c r="A2264" s="38"/>
      <c r="B2264" s="39"/>
      <c r="C2264" s="32"/>
      <c r="D2264" s="32"/>
      <c r="G2264" s="23"/>
    </row>
    <row r="2265" spans="1:7">
      <c r="A2265" s="38"/>
      <c r="B2265" s="39"/>
      <c r="C2265" s="32"/>
      <c r="D2265" s="32"/>
      <c r="G2265" s="23"/>
    </row>
    <row r="2266" spans="1:7">
      <c r="A2266" s="38"/>
      <c r="B2266" s="39"/>
      <c r="C2266" s="32"/>
      <c r="D2266" s="32"/>
      <c r="G2266" s="23"/>
    </row>
    <row r="2267" spans="1:7">
      <c r="A2267" s="38"/>
      <c r="B2267" s="39"/>
      <c r="C2267" s="32"/>
      <c r="D2267" s="32"/>
      <c r="G2267" s="23"/>
    </row>
    <row r="2268" spans="1:7">
      <c r="A2268" s="38"/>
      <c r="B2268" s="39"/>
      <c r="C2268" s="32"/>
      <c r="D2268" s="32"/>
      <c r="G2268" s="23"/>
    </row>
    <row r="2269" spans="1:7">
      <c r="A2269" s="38"/>
      <c r="B2269" s="39"/>
      <c r="C2269" s="32"/>
      <c r="D2269" s="32"/>
      <c r="G2269" s="23"/>
    </row>
    <row r="2270" spans="1:7">
      <c r="A2270" s="38"/>
      <c r="B2270" s="39"/>
      <c r="C2270" s="32"/>
      <c r="D2270" s="32"/>
      <c r="G2270" s="23"/>
    </row>
    <row r="2271" spans="1:7">
      <c r="A2271" s="38"/>
      <c r="B2271" s="39"/>
      <c r="C2271" s="32"/>
      <c r="D2271" s="32"/>
      <c r="G2271" s="23"/>
    </row>
    <row r="2272" spans="1:7">
      <c r="A2272" s="38"/>
      <c r="B2272" s="39"/>
      <c r="C2272" s="32"/>
      <c r="D2272" s="32"/>
      <c r="G2272" s="23"/>
    </row>
    <row r="2273" spans="1:7">
      <c r="A2273" s="38"/>
      <c r="B2273" s="39"/>
      <c r="C2273" s="32"/>
      <c r="D2273" s="32"/>
      <c r="G2273" s="23"/>
    </row>
    <row r="2274" spans="1:7">
      <c r="A2274" s="38"/>
      <c r="B2274" s="39"/>
      <c r="C2274" s="32"/>
      <c r="D2274" s="32"/>
      <c r="G2274" s="23"/>
    </row>
    <row r="2275" spans="1:7">
      <c r="A2275" s="38"/>
      <c r="B2275" s="39"/>
      <c r="C2275" s="32"/>
      <c r="D2275" s="32"/>
      <c r="G2275" s="23"/>
    </row>
    <row r="2276" spans="1:7">
      <c r="A2276" s="38"/>
      <c r="B2276" s="39"/>
      <c r="C2276" s="32"/>
      <c r="D2276" s="32"/>
      <c r="G2276" s="23"/>
    </row>
    <row r="2277" spans="1:7">
      <c r="A2277" s="38"/>
      <c r="B2277" s="39"/>
      <c r="C2277" s="32"/>
      <c r="D2277" s="32"/>
      <c r="G2277" s="23"/>
    </row>
    <row r="2278" spans="1:7">
      <c r="A2278" s="38"/>
      <c r="B2278" s="39"/>
      <c r="C2278" s="32"/>
      <c r="D2278" s="32"/>
      <c r="G2278" s="23"/>
    </row>
    <row r="2279" spans="1:7">
      <c r="A2279" s="38"/>
      <c r="B2279" s="39"/>
      <c r="C2279" s="32"/>
      <c r="D2279" s="32"/>
      <c r="G2279" s="23"/>
    </row>
    <row r="2280" spans="1:7">
      <c r="A2280" s="38"/>
      <c r="B2280" s="39"/>
      <c r="C2280" s="32"/>
      <c r="D2280" s="32"/>
      <c r="G2280" s="23"/>
    </row>
    <row r="2281" spans="1:7">
      <c r="A2281" s="38"/>
      <c r="B2281" s="39"/>
      <c r="C2281" s="32"/>
      <c r="D2281" s="32"/>
      <c r="G2281" s="23"/>
    </row>
    <row r="2282" spans="1:7">
      <c r="A2282" s="38"/>
      <c r="B2282" s="39"/>
      <c r="C2282" s="32"/>
      <c r="D2282" s="32"/>
      <c r="G2282" s="23"/>
    </row>
    <row r="2283" spans="1:7">
      <c r="A2283" s="38"/>
      <c r="B2283" s="39"/>
      <c r="C2283" s="32"/>
      <c r="D2283" s="32"/>
      <c r="G2283" s="23"/>
    </row>
    <row r="2284" spans="1:7">
      <c r="A2284" s="38"/>
      <c r="B2284" s="39"/>
      <c r="C2284" s="32"/>
      <c r="D2284" s="32"/>
      <c r="G2284" s="23"/>
    </row>
    <row r="2285" spans="1:7">
      <c r="A2285" s="38"/>
      <c r="B2285" s="39"/>
      <c r="C2285" s="32"/>
      <c r="D2285" s="32"/>
      <c r="G2285" s="23"/>
    </row>
    <row r="2286" spans="1:7">
      <c r="A2286" s="38"/>
      <c r="B2286" s="39"/>
      <c r="C2286" s="32"/>
      <c r="D2286" s="32"/>
      <c r="G2286" s="23"/>
    </row>
    <row r="2287" spans="1:7">
      <c r="A2287" s="38"/>
      <c r="B2287" s="39"/>
      <c r="C2287" s="32"/>
      <c r="D2287" s="32"/>
      <c r="G2287" s="23"/>
    </row>
    <row r="2288" spans="1:7">
      <c r="A2288" s="38"/>
      <c r="B2288" s="39"/>
      <c r="C2288" s="32"/>
      <c r="D2288" s="32"/>
      <c r="G2288" s="23"/>
    </row>
    <row r="2289" spans="1:7">
      <c r="A2289" s="38"/>
      <c r="B2289" s="39"/>
      <c r="C2289" s="32"/>
      <c r="D2289" s="32"/>
      <c r="G2289" s="23"/>
    </row>
    <row r="2290" spans="1:7">
      <c r="A2290" s="38"/>
      <c r="B2290" s="39"/>
      <c r="C2290" s="32"/>
      <c r="D2290" s="32"/>
      <c r="G2290" s="23"/>
    </row>
    <row r="2291" spans="1:7">
      <c r="A2291" s="38"/>
      <c r="B2291" s="39"/>
      <c r="C2291" s="32"/>
      <c r="D2291" s="32"/>
      <c r="G2291" s="23"/>
    </row>
    <row r="2292" spans="1:7">
      <c r="A2292" s="38"/>
      <c r="B2292" s="39"/>
      <c r="C2292" s="32"/>
      <c r="D2292" s="32"/>
      <c r="G2292" s="23"/>
    </row>
    <row r="2293" spans="1:7">
      <c r="A2293" s="38"/>
      <c r="B2293" s="39"/>
      <c r="C2293" s="32"/>
      <c r="D2293" s="32"/>
      <c r="G2293" s="23"/>
    </row>
    <row r="2294" spans="1:7">
      <c r="A2294" s="38"/>
      <c r="B2294" s="39"/>
      <c r="C2294" s="32"/>
      <c r="D2294" s="32"/>
      <c r="G2294" s="23"/>
    </row>
    <row r="2295" spans="1:7">
      <c r="A2295" s="38"/>
      <c r="B2295" s="39"/>
      <c r="C2295" s="32"/>
      <c r="D2295" s="32"/>
      <c r="G2295" s="23"/>
    </row>
    <row r="2296" spans="1:7">
      <c r="A2296" s="38"/>
      <c r="B2296" s="39"/>
      <c r="C2296" s="32"/>
      <c r="D2296" s="32"/>
      <c r="G2296" s="23"/>
    </row>
    <row r="2297" spans="1:7">
      <c r="A2297" s="38"/>
      <c r="B2297" s="39"/>
      <c r="C2297" s="32"/>
      <c r="D2297" s="32"/>
      <c r="G2297" s="23"/>
    </row>
    <row r="2298" spans="1:7">
      <c r="A2298" s="38"/>
      <c r="B2298" s="39"/>
      <c r="C2298" s="32"/>
      <c r="D2298" s="32"/>
      <c r="G2298" s="23"/>
    </row>
    <row r="2299" spans="1:7">
      <c r="A2299" s="38"/>
      <c r="B2299" s="39"/>
      <c r="C2299" s="32"/>
      <c r="D2299" s="32"/>
      <c r="G2299" s="23"/>
    </row>
    <row r="2300" spans="1:7">
      <c r="A2300" s="38"/>
      <c r="B2300" s="39"/>
      <c r="C2300" s="32"/>
      <c r="D2300" s="32"/>
      <c r="G2300" s="23"/>
    </row>
    <row r="2301" spans="1:7">
      <c r="A2301" s="38"/>
      <c r="B2301" s="39"/>
      <c r="C2301" s="32"/>
      <c r="D2301" s="32"/>
      <c r="G2301" s="23"/>
    </row>
    <row r="2302" spans="1:7">
      <c r="A2302" s="38"/>
      <c r="B2302" s="39"/>
      <c r="C2302" s="32"/>
      <c r="D2302" s="32"/>
      <c r="G2302" s="23"/>
    </row>
    <row r="2303" spans="1:7">
      <c r="A2303" s="38"/>
      <c r="B2303" s="39"/>
      <c r="C2303" s="32"/>
      <c r="D2303" s="32"/>
      <c r="G2303" s="23"/>
    </row>
    <row r="2304" spans="1:7">
      <c r="A2304" s="38"/>
      <c r="B2304" s="39"/>
      <c r="C2304" s="32"/>
      <c r="D2304" s="32"/>
      <c r="G2304" s="23"/>
    </row>
    <row r="2305" spans="1:7">
      <c r="A2305" s="38"/>
      <c r="B2305" s="39"/>
      <c r="C2305" s="32"/>
      <c r="D2305" s="32"/>
      <c r="G2305" s="23"/>
    </row>
    <row r="2306" spans="1:7">
      <c r="A2306" s="38"/>
      <c r="B2306" s="39"/>
      <c r="C2306" s="32"/>
      <c r="D2306" s="32"/>
      <c r="G2306" s="23"/>
    </row>
    <row r="2307" spans="1:7">
      <c r="A2307" s="38"/>
      <c r="B2307" s="39"/>
      <c r="C2307" s="32"/>
      <c r="D2307" s="32"/>
      <c r="G2307" s="23"/>
    </row>
    <row r="2308" spans="1:7">
      <c r="A2308" s="38"/>
      <c r="B2308" s="39"/>
      <c r="C2308" s="32"/>
      <c r="D2308" s="32"/>
      <c r="G2308" s="23"/>
    </row>
    <row r="2309" spans="1:7">
      <c r="A2309" s="38"/>
      <c r="B2309" s="39"/>
      <c r="C2309" s="32"/>
      <c r="D2309" s="32"/>
      <c r="G2309" s="23"/>
    </row>
    <row r="2310" spans="1:7">
      <c r="A2310" s="38"/>
      <c r="B2310" s="39"/>
      <c r="C2310" s="32"/>
      <c r="D2310" s="32"/>
      <c r="G2310" s="23"/>
    </row>
    <row r="2311" spans="1:7">
      <c r="A2311" s="38"/>
      <c r="B2311" s="39"/>
      <c r="C2311" s="32"/>
      <c r="D2311" s="32"/>
      <c r="G2311" s="23"/>
    </row>
    <row r="2312" spans="1:7">
      <c r="A2312" s="38"/>
      <c r="B2312" s="39"/>
      <c r="C2312" s="32"/>
      <c r="D2312" s="32"/>
      <c r="G2312" s="23"/>
    </row>
    <row r="2313" spans="1:7">
      <c r="A2313" s="38"/>
      <c r="B2313" s="39"/>
      <c r="C2313" s="32"/>
      <c r="D2313" s="32"/>
      <c r="G2313" s="23"/>
    </row>
    <row r="2314" spans="1:7">
      <c r="A2314" s="38"/>
      <c r="B2314" s="39"/>
      <c r="C2314" s="32"/>
      <c r="D2314" s="32"/>
      <c r="G2314" s="23"/>
    </row>
    <row r="2315" spans="1:7">
      <c r="A2315" s="38"/>
      <c r="B2315" s="39"/>
      <c r="C2315" s="32"/>
      <c r="D2315" s="32"/>
      <c r="G2315" s="23"/>
    </row>
    <row r="2316" spans="1:7">
      <c r="A2316" s="38"/>
      <c r="B2316" s="39"/>
      <c r="C2316" s="32"/>
      <c r="D2316" s="32"/>
      <c r="G2316" s="23"/>
    </row>
    <row r="2317" spans="1:7">
      <c r="A2317" s="38"/>
      <c r="B2317" s="39"/>
      <c r="C2317" s="32"/>
      <c r="D2317" s="32"/>
      <c r="G2317" s="23"/>
    </row>
    <row r="2318" spans="1:7">
      <c r="A2318" s="38"/>
      <c r="B2318" s="39"/>
      <c r="C2318" s="32"/>
      <c r="D2318" s="32"/>
      <c r="G2318" s="23"/>
    </row>
    <row r="2319" spans="1:7">
      <c r="A2319" s="38"/>
      <c r="B2319" s="39"/>
      <c r="C2319" s="32"/>
      <c r="D2319" s="32"/>
      <c r="G2319" s="23"/>
    </row>
    <row r="2320" spans="1:7">
      <c r="A2320" s="38"/>
      <c r="B2320" s="39"/>
      <c r="C2320" s="32"/>
      <c r="D2320" s="32"/>
      <c r="G2320" s="23"/>
    </row>
    <row r="2321" spans="1:7">
      <c r="A2321" s="38"/>
      <c r="B2321" s="39"/>
      <c r="C2321" s="32"/>
      <c r="D2321" s="32"/>
      <c r="G2321" s="23"/>
    </row>
    <row r="2322" spans="1:7">
      <c r="A2322" s="38"/>
      <c r="B2322" s="39"/>
      <c r="C2322" s="32"/>
      <c r="D2322" s="32"/>
      <c r="G2322" s="23"/>
    </row>
    <row r="2323" spans="1:7">
      <c r="A2323" s="38"/>
      <c r="B2323" s="39"/>
      <c r="C2323" s="32"/>
      <c r="D2323" s="32"/>
      <c r="G2323" s="23"/>
    </row>
    <row r="2324" spans="1:7">
      <c r="A2324" s="38"/>
      <c r="B2324" s="39"/>
      <c r="C2324" s="32"/>
      <c r="D2324" s="32"/>
      <c r="G2324" s="23"/>
    </row>
    <row r="2325" spans="1:7">
      <c r="A2325" s="38"/>
      <c r="B2325" s="39"/>
      <c r="C2325" s="32"/>
      <c r="D2325" s="32"/>
      <c r="G2325" s="23"/>
    </row>
    <row r="2326" spans="1:7">
      <c r="A2326" s="38"/>
      <c r="B2326" s="39"/>
      <c r="C2326" s="32"/>
      <c r="D2326" s="32"/>
      <c r="G2326" s="23"/>
    </row>
    <row r="2327" spans="1:7">
      <c r="A2327" s="38"/>
      <c r="B2327" s="39"/>
      <c r="C2327" s="32"/>
      <c r="D2327" s="32"/>
      <c r="G2327" s="23"/>
    </row>
    <row r="2328" spans="1:7">
      <c r="A2328" s="38"/>
      <c r="B2328" s="39"/>
      <c r="C2328" s="32"/>
      <c r="D2328" s="32"/>
      <c r="G2328" s="23"/>
    </row>
    <row r="2329" spans="1:7">
      <c r="A2329" s="38"/>
      <c r="B2329" s="39"/>
      <c r="C2329" s="32"/>
      <c r="D2329" s="32"/>
      <c r="G2329" s="23"/>
    </row>
    <row r="2330" spans="1:7">
      <c r="A2330" s="38"/>
      <c r="B2330" s="39"/>
      <c r="C2330" s="32"/>
      <c r="D2330" s="32"/>
      <c r="G2330" s="23"/>
    </row>
    <row r="2331" spans="1:7">
      <c r="A2331" s="38"/>
      <c r="B2331" s="39"/>
      <c r="C2331" s="32"/>
      <c r="D2331" s="32"/>
      <c r="G2331" s="23"/>
    </row>
    <row r="2332" spans="1:7">
      <c r="A2332" s="38"/>
      <c r="B2332" s="39"/>
      <c r="C2332" s="32"/>
      <c r="D2332" s="32"/>
      <c r="G2332" s="23"/>
    </row>
    <row r="2333" spans="1:7">
      <c r="A2333" s="38"/>
      <c r="B2333" s="39"/>
      <c r="C2333" s="32"/>
      <c r="D2333" s="32"/>
      <c r="G2333" s="23"/>
    </row>
    <row r="2334" spans="1:7">
      <c r="A2334" s="38"/>
      <c r="B2334" s="39"/>
      <c r="C2334" s="32"/>
      <c r="D2334" s="32"/>
      <c r="G2334" s="23"/>
    </row>
    <row r="2335" spans="1:7">
      <c r="A2335" s="38"/>
      <c r="B2335" s="39"/>
      <c r="C2335" s="32"/>
      <c r="D2335" s="32"/>
      <c r="G2335" s="23"/>
    </row>
    <row r="2336" spans="1:7">
      <c r="A2336" s="38"/>
      <c r="B2336" s="39"/>
      <c r="C2336" s="32"/>
      <c r="D2336" s="32"/>
      <c r="G2336" s="23"/>
    </row>
    <row r="2337" spans="1:7">
      <c r="A2337" s="38"/>
      <c r="B2337" s="39"/>
      <c r="C2337" s="32"/>
      <c r="D2337" s="32"/>
      <c r="G2337" s="23"/>
    </row>
    <row r="2338" spans="1:7">
      <c r="A2338" s="38"/>
      <c r="B2338" s="39"/>
      <c r="C2338" s="32"/>
      <c r="D2338" s="32"/>
      <c r="G2338" s="23"/>
    </row>
    <row r="2339" spans="1:7">
      <c r="A2339" s="38"/>
      <c r="B2339" s="39"/>
      <c r="C2339" s="32"/>
      <c r="D2339" s="32"/>
      <c r="G2339" s="23"/>
    </row>
    <row r="2340" spans="1:7">
      <c r="A2340" s="38"/>
      <c r="B2340" s="39"/>
      <c r="C2340" s="32"/>
      <c r="D2340" s="32"/>
      <c r="G2340" s="23"/>
    </row>
    <row r="2341" spans="1:7">
      <c r="A2341" s="38"/>
      <c r="B2341" s="39"/>
      <c r="C2341" s="32"/>
      <c r="D2341" s="32"/>
      <c r="G2341" s="23"/>
    </row>
    <row r="2342" spans="1:7">
      <c r="A2342" s="38"/>
      <c r="B2342" s="39"/>
      <c r="C2342" s="32"/>
      <c r="D2342" s="32"/>
      <c r="G2342" s="23"/>
    </row>
    <row r="2343" spans="1:7">
      <c r="A2343" s="38"/>
      <c r="B2343" s="39"/>
      <c r="C2343" s="32"/>
      <c r="D2343" s="32"/>
      <c r="G2343" s="23"/>
    </row>
    <row r="2344" spans="1:7">
      <c r="A2344" s="38"/>
      <c r="B2344" s="39"/>
      <c r="C2344" s="32"/>
      <c r="D2344" s="32"/>
      <c r="G2344" s="23"/>
    </row>
    <row r="2345" spans="1:7">
      <c r="A2345" s="38"/>
      <c r="B2345" s="39"/>
      <c r="C2345" s="32"/>
      <c r="D2345" s="32"/>
      <c r="G2345" s="23"/>
    </row>
    <row r="2346" spans="1:7">
      <c r="A2346" s="38"/>
      <c r="B2346" s="39"/>
      <c r="C2346" s="32"/>
      <c r="D2346" s="32"/>
      <c r="G2346" s="23"/>
    </row>
    <row r="2347" spans="1:7">
      <c r="A2347" s="38"/>
      <c r="B2347" s="39"/>
      <c r="C2347" s="32"/>
      <c r="D2347" s="32"/>
      <c r="G2347" s="23"/>
    </row>
    <row r="2348" spans="1:7">
      <c r="A2348" s="38"/>
      <c r="B2348" s="39"/>
      <c r="C2348" s="32"/>
      <c r="D2348" s="32"/>
      <c r="G2348" s="23"/>
    </row>
    <row r="2349" spans="1:7">
      <c r="A2349" s="38"/>
      <c r="B2349" s="39"/>
      <c r="C2349" s="32"/>
      <c r="D2349" s="32"/>
      <c r="G2349" s="23"/>
    </row>
    <row r="2350" spans="1:7">
      <c r="A2350" s="38"/>
      <c r="B2350" s="39"/>
      <c r="C2350" s="32"/>
      <c r="D2350" s="32"/>
      <c r="G2350" s="23"/>
    </row>
    <row r="2351" spans="1:7">
      <c r="A2351" s="38"/>
      <c r="B2351" s="39"/>
      <c r="C2351" s="32"/>
      <c r="D2351" s="32"/>
      <c r="G2351" s="23"/>
    </row>
    <row r="2352" spans="1:7">
      <c r="A2352" s="38"/>
      <c r="B2352" s="39"/>
      <c r="C2352" s="32"/>
      <c r="D2352" s="32"/>
      <c r="G2352" s="23"/>
    </row>
    <row r="2353" spans="1:7">
      <c r="A2353" s="38"/>
      <c r="B2353" s="39"/>
      <c r="C2353" s="32"/>
      <c r="D2353" s="32"/>
      <c r="G2353" s="23"/>
    </row>
    <row r="2354" spans="1:7">
      <c r="A2354" s="38"/>
      <c r="B2354" s="39"/>
      <c r="C2354" s="32"/>
      <c r="D2354" s="32"/>
      <c r="G2354" s="23"/>
    </row>
    <row r="2355" spans="1:7">
      <c r="A2355" s="38"/>
      <c r="B2355" s="39"/>
      <c r="C2355" s="32"/>
      <c r="D2355" s="32"/>
      <c r="G2355" s="23"/>
    </row>
    <row r="2356" spans="1:7">
      <c r="A2356" s="38"/>
      <c r="B2356" s="39"/>
      <c r="C2356" s="32"/>
      <c r="D2356" s="32"/>
      <c r="G2356" s="23"/>
    </row>
    <row r="2357" spans="1:7">
      <c r="A2357" s="38"/>
      <c r="B2357" s="39"/>
      <c r="C2357" s="32"/>
      <c r="D2357" s="32"/>
      <c r="G2357" s="23"/>
    </row>
    <row r="2358" spans="1:7">
      <c r="A2358" s="38"/>
      <c r="B2358" s="39"/>
      <c r="C2358" s="32"/>
      <c r="D2358" s="32"/>
      <c r="G2358" s="23"/>
    </row>
    <row r="2359" spans="1:7">
      <c r="A2359" s="38"/>
      <c r="B2359" s="39"/>
      <c r="C2359" s="32"/>
      <c r="D2359" s="32"/>
      <c r="G2359" s="23"/>
    </row>
    <row r="2360" spans="1:7">
      <c r="A2360" s="38"/>
      <c r="B2360" s="39"/>
      <c r="C2360" s="32"/>
      <c r="D2360" s="32"/>
      <c r="G2360" s="23"/>
    </row>
    <row r="2361" spans="1:7">
      <c r="A2361" s="38"/>
      <c r="B2361" s="39"/>
      <c r="C2361" s="32"/>
      <c r="D2361" s="32"/>
      <c r="G2361" s="23"/>
    </row>
    <row r="2362" spans="1:7">
      <c r="A2362" s="38"/>
      <c r="B2362" s="39"/>
      <c r="C2362" s="32"/>
      <c r="D2362" s="32"/>
      <c r="G2362" s="23"/>
    </row>
    <row r="2363" spans="1:7">
      <c r="A2363" s="38"/>
      <c r="B2363" s="39"/>
      <c r="C2363" s="32"/>
      <c r="D2363" s="32"/>
      <c r="G2363" s="23"/>
    </row>
    <row r="2364" spans="1:7">
      <c r="A2364" s="38"/>
      <c r="B2364" s="39"/>
      <c r="C2364" s="32"/>
      <c r="D2364" s="32"/>
      <c r="G2364" s="23"/>
    </row>
    <row r="2365" spans="1:7">
      <c r="A2365" s="38"/>
      <c r="B2365" s="39"/>
      <c r="C2365" s="32"/>
      <c r="D2365" s="32"/>
      <c r="G2365" s="23"/>
    </row>
    <row r="2366" spans="1:7">
      <c r="A2366" s="38"/>
      <c r="B2366" s="39"/>
      <c r="C2366" s="32"/>
      <c r="D2366" s="32"/>
      <c r="G2366" s="23"/>
    </row>
    <row r="2367" spans="1:7">
      <c r="A2367" s="38"/>
      <c r="B2367" s="39"/>
      <c r="C2367" s="32"/>
      <c r="D2367" s="32"/>
      <c r="G2367" s="23"/>
    </row>
    <row r="2368" spans="1:7">
      <c r="A2368" s="38"/>
      <c r="B2368" s="39"/>
      <c r="C2368" s="32"/>
      <c r="D2368" s="32"/>
      <c r="G2368" s="23"/>
    </row>
    <row r="2369" spans="1:7">
      <c r="A2369" s="38"/>
      <c r="B2369" s="39"/>
      <c r="C2369" s="32"/>
      <c r="D2369" s="32"/>
      <c r="G2369" s="23"/>
    </row>
    <row r="2370" spans="1:7">
      <c r="A2370" s="38"/>
      <c r="B2370" s="39"/>
      <c r="C2370" s="32"/>
      <c r="D2370" s="32"/>
      <c r="G2370" s="23"/>
    </row>
    <row r="2371" spans="1:7">
      <c r="A2371" s="38"/>
      <c r="B2371" s="39"/>
      <c r="C2371" s="32"/>
      <c r="D2371" s="32"/>
      <c r="G2371" s="23"/>
    </row>
    <row r="2372" spans="1:7">
      <c r="A2372" s="38"/>
      <c r="B2372" s="39"/>
      <c r="C2372" s="32"/>
      <c r="D2372" s="32"/>
      <c r="G2372" s="23"/>
    </row>
    <row r="2373" spans="1:7">
      <c r="A2373" s="38"/>
      <c r="B2373" s="39"/>
      <c r="C2373" s="32"/>
      <c r="D2373" s="32"/>
      <c r="G2373" s="23"/>
    </row>
    <row r="2374" spans="1:7">
      <c r="A2374" s="38"/>
      <c r="B2374" s="39"/>
      <c r="C2374" s="32"/>
      <c r="D2374" s="32"/>
      <c r="G2374" s="23"/>
    </row>
    <row r="2375" spans="1:7">
      <c r="A2375" s="38"/>
      <c r="B2375" s="39"/>
      <c r="C2375" s="32"/>
      <c r="D2375" s="32"/>
      <c r="G2375" s="23"/>
    </row>
    <row r="2376" spans="1:7">
      <c r="A2376" s="38"/>
      <c r="B2376" s="39"/>
      <c r="C2376" s="32"/>
      <c r="D2376" s="32"/>
      <c r="G2376" s="23"/>
    </row>
    <row r="2377" spans="1:7">
      <c r="A2377" s="38"/>
      <c r="B2377" s="39"/>
      <c r="C2377" s="32"/>
      <c r="D2377" s="32"/>
      <c r="G2377" s="23"/>
    </row>
    <row r="2378" spans="1:7">
      <c r="A2378" s="38"/>
      <c r="B2378" s="39"/>
      <c r="C2378" s="32"/>
      <c r="D2378" s="32"/>
      <c r="G2378" s="23"/>
    </row>
    <row r="2379" spans="1:7">
      <c r="A2379" s="38"/>
      <c r="B2379" s="39"/>
      <c r="C2379" s="32"/>
      <c r="D2379" s="32"/>
      <c r="G2379" s="23"/>
    </row>
    <row r="2380" spans="1:7">
      <c r="A2380" s="38"/>
      <c r="B2380" s="39"/>
      <c r="C2380" s="32"/>
      <c r="D2380" s="32"/>
      <c r="G2380" s="23"/>
    </row>
    <row r="2381" spans="1:7">
      <c r="A2381" s="38"/>
      <c r="B2381" s="39"/>
      <c r="C2381" s="32"/>
      <c r="D2381" s="32"/>
      <c r="G2381" s="23"/>
    </row>
    <row r="2382" spans="1:7">
      <c r="A2382" s="38"/>
      <c r="B2382" s="39"/>
      <c r="C2382" s="32"/>
      <c r="D2382" s="32"/>
      <c r="G2382" s="23"/>
    </row>
    <row r="2383" spans="1:7">
      <c r="A2383" s="38"/>
      <c r="B2383" s="39"/>
      <c r="C2383" s="32"/>
      <c r="D2383" s="32"/>
      <c r="G2383" s="23"/>
    </row>
    <row r="2384" spans="1:7">
      <c r="A2384" s="38"/>
      <c r="B2384" s="39"/>
      <c r="C2384" s="32"/>
      <c r="D2384" s="32"/>
      <c r="G2384" s="23"/>
    </row>
    <row r="2385" spans="1:7">
      <c r="A2385" s="38"/>
      <c r="B2385" s="39"/>
      <c r="C2385" s="32"/>
      <c r="D2385" s="32"/>
      <c r="G2385" s="23"/>
    </row>
    <row r="2386" spans="1:7">
      <c r="A2386" s="38"/>
      <c r="B2386" s="39"/>
      <c r="C2386" s="32"/>
      <c r="D2386" s="32"/>
      <c r="G2386" s="23"/>
    </row>
    <row r="2387" spans="1:7">
      <c r="A2387" s="38"/>
      <c r="B2387" s="39"/>
      <c r="C2387" s="32"/>
      <c r="D2387" s="32"/>
      <c r="G2387" s="23"/>
    </row>
    <row r="2388" spans="1:7">
      <c r="A2388" s="38"/>
      <c r="B2388" s="39"/>
      <c r="C2388" s="32"/>
      <c r="D2388" s="32"/>
      <c r="G2388" s="23"/>
    </row>
    <row r="2389" spans="1:7">
      <c r="A2389" s="38"/>
      <c r="B2389" s="39"/>
      <c r="C2389" s="32"/>
      <c r="D2389" s="32"/>
      <c r="G2389" s="23"/>
    </row>
    <row r="2390" spans="1:7">
      <c r="A2390" s="38"/>
      <c r="B2390" s="39"/>
      <c r="C2390" s="32"/>
      <c r="D2390" s="32"/>
      <c r="G2390" s="23"/>
    </row>
    <row r="2391" spans="1:7">
      <c r="A2391" s="38"/>
      <c r="B2391" s="39"/>
      <c r="C2391" s="32"/>
      <c r="D2391" s="32"/>
      <c r="G2391" s="23"/>
    </row>
    <row r="2392" spans="1:7">
      <c r="A2392" s="38"/>
      <c r="B2392" s="39"/>
      <c r="C2392" s="32"/>
      <c r="D2392" s="32"/>
      <c r="G2392" s="23"/>
    </row>
    <row r="2393" spans="1:7">
      <c r="A2393" s="38"/>
      <c r="B2393" s="39"/>
      <c r="C2393" s="32"/>
      <c r="D2393" s="32"/>
      <c r="G2393" s="23"/>
    </row>
    <row r="2394" spans="1:7">
      <c r="A2394" s="38"/>
      <c r="B2394" s="39"/>
      <c r="C2394" s="32"/>
      <c r="D2394" s="32"/>
      <c r="G2394" s="23"/>
    </row>
    <row r="2395" spans="1:7">
      <c r="A2395" s="38"/>
      <c r="B2395" s="39"/>
      <c r="C2395" s="32"/>
      <c r="D2395" s="32"/>
      <c r="G2395" s="23"/>
    </row>
    <row r="2396" spans="1:7">
      <c r="A2396" s="38"/>
      <c r="B2396" s="39"/>
      <c r="C2396" s="32"/>
      <c r="D2396" s="32"/>
      <c r="G2396" s="23"/>
    </row>
    <row r="2397" spans="1:7">
      <c r="A2397" s="38"/>
      <c r="B2397" s="39"/>
      <c r="C2397" s="32"/>
      <c r="D2397" s="32"/>
      <c r="G2397" s="23"/>
    </row>
    <row r="2398" spans="1:7">
      <c r="A2398" s="38"/>
      <c r="B2398" s="39"/>
      <c r="C2398" s="32"/>
      <c r="D2398" s="32"/>
      <c r="G2398" s="23"/>
    </row>
    <row r="2399" spans="1:7">
      <c r="A2399" s="38"/>
      <c r="B2399" s="39"/>
      <c r="C2399" s="32"/>
      <c r="D2399" s="32"/>
      <c r="G2399" s="23"/>
    </row>
    <row r="2400" spans="1:7">
      <c r="A2400" s="38"/>
      <c r="B2400" s="39"/>
      <c r="C2400" s="32"/>
      <c r="D2400" s="32"/>
      <c r="G2400" s="23"/>
    </row>
    <row r="2401" spans="1:7">
      <c r="A2401" s="38"/>
      <c r="B2401" s="39"/>
      <c r="C2401" s="32"/>
      <c r="D2401" s="32"/>
      <c r="G2401" s="23"/>
    </row>
    <row r="2402" spans="1:7">
      <c r="A2402" s="38"/>
      <c r="B2402" s="39"/>
      <c r="C2402" s="32"/>
      <c r="D2402" s="32"/>
      <c r="G2402" s="23"/>
    </row>
    <row r="2403" spans="1:7">
      <c r="A2403" s="38"/>
      <c r="B2403" s="39"/>
      <c r="C2403" s="32"/>
      <c r="D2403" s="32"/>
      <c r="G2403" s="23"/>
    </row>
    <row r="2404" spans="1:7">
      <c r="A2404" s="38"/>
      <c r="B2404" s="39"/>
      <c r="C2404" s="32"/>
      <c r="D2404" s="32"/>
      <c r="G2404" s="23"/>
    </row>
    <row r="2405" spans="1:7">
      <c r="A2405" s="38"/>
      <c r="B2405" s="39"/>
      <c r="C2405" s="32"/>
      <c r="D2405" s="32"/>
      <c r="G2405" s="23"/>
    </row>
    <row r="2406" spans="1:7">
      <c r="A2406" s="38"/>
      <c r="B2406" s="39"/>
      <c r="C2406" s="32"/>
      <c r="D2406" s="32"/>
      <c r="G2406" s="23"/>
    </row>
    <row r="2407" spans="1:7">
      <c r="A2407" s="38"/>
      <c r="B2407" s="39"/>
      <c r="C2407" s="32"/>
      <c r="D2407" s="32"/>
      <c r="G2407" s="23"/>
    </row>
    <row r="2408" spans="1:7">
      <c r="A2408" s="38"/>
      <c r="B2408" s="39"/>
      <c r="C2408" s="32"/>
      <c r="D2408" s="32"/>
      <c r="G2408" s="23"/>
    </row>
    <row r="2409" spans="1:7">
      <c r="A2409" s="38"/>
      <c r="B2409" s="39"/>
      <c r="C2409" s="32"/>
      <c r="D2409" s="32"/>
      <c r="G2409" s="23"/>
    </row>
    <row r="2410" spans="1:7">
      <c r="A2410" s="38"/>
      <c r="B2410" s="39"/>
      <c r="C2410" s="32"/>
      <c r="D2410" s="32"/>
      <c r="G2410" s="23"/>
    </row>
    <row r="2411" spans="1:7">
      <c r="A2411" s="38"/>
      <c r="B2411" s="39"/>
      <c r="C2411" s="32"/>
      <c r="D2411" s="32"/>
      <c r="G2411" s="23"/>
    </row>
    <row r="2412" spans="1:7">
      <c r="A2412" s="38"/>
      <c r="B2412" s="39"/>
      <c r="C2412" s="32"/>
      <c r="D2412" s="32"/>
      <c r="G2412" s="23"/>
    </row>
    <row r="2413" spans="1:7">
      <c r="A2413" s="38"/>
      <c r="B2413" s="39"/>
      <c r="C2413" s="32"/>
      <c r="D2413" s="32"/>
      <c r="G2413" s="23"/>
    </row>
    <row r="2414" spans="1:7">
      <c r="A2414" s="38"/>
      <c r="B2414" s="39"/>
      <c r="C2414" s="32"/>
      <c r="D2414" s="32"/>
      <c r="G2414" s="23"/>
    </row>
    <row r="2415" spans="1:7">
      <c r="A2415" s="38"/>
      <c r="B2415" s="39"/>
      <c r="C2415" s="32"/>
      <c r="D2415" s="32"/>
      <c r="G2415" s="23"/>
    </row>
    <row r="2416" spans="1:7">
      <c r="A2416" s="38"/>
      <c r="B2416" s="39"/>
      <c r="C2416" s="32"/>
      <c r="D2416" s="32"/>
      <c r="G2416" s="23"/>
    </row>
    <row r="2417" spans="1:7">
      <c r="A2417" s="38"/>
      <c r="B2417" s="39"/>
      <c r="C2417" s="32"/>
      <c r="D2417" s="32"/>
      <c r="G2417" s="23"/>
    </row>
    <row r="2418" spans="1:7">
      <c r="A2418" s="38"/>
      <c r="B2418" s="39"/>
      <c r="C2418" s="32"/>
      <c r="D2418" s="32"/>
      <c r="G2418" s="23"/>
    </row>
    <row r="2419" spans="1:7">
      <c r="A2419" s="38"/>
      <c r="B2419" s="39"/>
      <c r="C2419" s="32"/>
      <c r="D2419" s="32"/>
      <c r="G2419" s="23"/>
    </row>
    <row r="2420" spans="1:7">
      <c r="A2420" s="38"/>
      <c r="B2420" s="39"/>
      <c r="C2420" s="32"/>
      <c r="D2420" s="32"/>
      <c r="G2420" s="23"/>
    </row>
    <row r="2421" spans="1:7">
      <c r="A2421" s="38"/>
      <c r="B2421" s="39"/>
      <c r="C2421" s="32"/>
      <c r="D2421" s="32"/>
      <c r="G2421" s="23"/>
    </row>
    <row r="2422" spans="1:7">
      <c r="A2422" s="38"/>
      <c r="B2422" s="39"/>
      <c r="C2422" s="32"/>
      <c r="D2422" s="32"/>
      <c r="G2422" s="23"/>
    </row>
    <row r="2423" spans="1:7">
      <c r="A2423" s="38"/>
      <c r="B2423" s="39"/>
      <c r="C2423" s="32"/>
      <c r="D2423" s="32"/>
      <c r="G2423" s="23"/>
    </row>
    <row r="2424" spans="1:7">
      <c r="A2424" s="38"/>
      <c r="B2424" s="39"/>
      <c r="C2424" s="32"/>
      <c r="D2424" s="32"/>
      <c r="G2424" s="23"/>
    </row>
    <row r="2425" spans="1:7">
      <c r="A2425" s="38"/>
      <c r="B2425" s="39"/>
      <c r="C2425" s="32"/>
      <c r="D2425" s="32"/>
      <c r="G2425" s="23"/>
    </row>
    <row r="2426" spans="1:7">
      <c r="A2426" s="38"/>
      <c r="B2426" s="39"/>
      <c r="C2426" s="32"/>
      <c r="D2426" s="32"/>
      <c r="G2426" s="23"/>
    </row>
    <row r="2427" spans="1:7">
      <c r="A2427" s="38"/>
      <c r="B2427" s="39"/>
      <c r="C2427" s="32"/>
      <c r="D2427" s="32"/>
      <c r="G2427" s="23"/>
    </row>
    <row r="2428" spans="1:7">
      <c r="A2428" s="38"/>
      <c r="B2428" s="39"/>
      <c r="C2428" s="32"/>
      <c r="D2428" s="32"/>
      <c r="G2428" s="23"/>
    </row>
    <row r="2429" spans="1:7">
      <c r="A2429" s="38"/>
      <c r="B2429" s="39"/>
      <c r="C2429" s="32"/>
      <c r="D2429" s="32"/>
      <c r="G2429" s="23"/>
    </row>
    <row r="2430" spans="1:7">
      <c r="A2430" s="38"/>
      <c r="B2430" s="39"/>
      <c r="C2430" s="32"/>
      <c r="D2430" s="32"/>
      <c r="G2430" s="23"/>
    </row>
    <row r="2431" spans="1:7">
      <c r="A2431" s="38"/>
      <c r="B2431" s="39"/>
      <c r="C2431" s="32"/>
      <c r="D2431" s="32"/>
      <c r="G2431" s="23"/>
    </row>
    <row r="2432" spans="1:7">
      <c r="A2432" s="38"/>
      <c r="B2432" s="39"/>
      <c r="C2432" s="32"/>
      <c r="D2432" s="32"/>
      <c r="G2432" s="23"/>
    </row>
    <row r="2433" spans="1:7">
      <c r="A2433" s="38"/>
      <c r="B2433" s="39"/>
      <c r="C2433" s="32"/>
      <c r="D2433" s="32"/>
      <c r="G2433" s="23"/>
    </row>
    <row r="2434" spans="1:7">
      <c r="A2434" s="38"/>
      <c r="B2434" s="39"/>
      <c r="C2434" s="32"/>
      <c r="D2434" s="32"/>
      <c r="G2434" s="23"/>
    </row>
    <row r="2435" spans="1:7">
      <c r="A2435" s="38"/>
      <c r="B2435" s="39"/>
      <c r="C2435" s="32"/>
      <c r="D2435" s="32"/>
      <c r="G2435" s="23"/>
    </row>
    <row r="2436" spans="1:7">
      <c r="A2436" s="38"/>
      <c r="B2436" s="39"/>
      <c r="C2436" s="32"/>
      <c r="D2436" s="32"/>
      <c r="G2436" s="23"/>
    </row>
    <row r="2437" spans="1:7">
      <c r="A2437" s="38"/>
      <c r="B2437" s="39"/>
      <c r="C2437" s="32"/>
      <c r="D2437" s="32"/>
      <c r="G2437" s="23"/>
    </row>
    <row r="2438" spans="1:7">
      <c r="A2438" s="38"/>
      <c r="B2438" s="39"/>
      <c r="C2438" s="32"/>
      <c r="D2438" s="32"/>
      <c r="G2438" s="23"/>
    </row>
    <row r="2439" spans="1:7">
      <c r="A2439" s="38"/>
      <c r="B2439" s="39"/>
      <c r="C2439" s="32"/>
      <c r="D2439" s="32"/>
      <c r="G2439" s="23"/>
    </row>
    <row r="2440" spans="1:7">
      <c r="A2440" s="38"/>
      <c r="B2440" s="39"/>
      <c r="C2440" s="32"/>
      <c r="D2440" s="32"/>
      <c r="G2440" s="23"/>
    </row>
    <row r="2441" spans="1:7">
      <c r="A2441" s="38"/>
      <c r="B2441" s="39"/>
      <c r="C2441" s="32"/>
      <c r="D2441" s="32"/>
      <c r="G2441" s="23"/>
    </row>
    <row r="2442" spans="1:7">
      <c r="A2442" s="38"/>
      <c r="B2442" s="39"/>
      <c r="C2442" s="32"/>
      <c r="D2442" s="32"/>
      <c r="G2442" s="23"/>
    </row>
    <row r="2443" spans="1:7">
      <c r="A2443" s="38"/>
      <c r="B2443" s="39"/>
      <c r="C2443" s="32"/>
      <c r="D2443" s="32"/>
      <c r="G2443" s="23"/>
    </row>
    <row r="2444" spans="1:7">
      <c r="A2444" s="38"/>
      <c r="B2444" s="39"/>
      <c r="C2444" s="32"/>
      <c r="D2444" s="32"/>
      <c r="G2444" s="23"/>
    </row>
    <row r="2445" spans="1:7">
      <c r="A2445" s="38"/>
      <c r="B2445" s="39"/>
      <c r="C2445" s="32"/>
      <c r="D2445" s="32"/>
      <c r="G2445" s="23"/>
    </row>
    <row r="2446" spans="1:7">
      <c r="A2446" s="38"/>
      <c r="B2446" s="39"/>
      <c r="C2446" s="32"/>
      <c r="D2446" s="32"/>
      <c r="G2446" s="23"/>
    </row>
    <row r="2447" spans="1:7">
      <c r="A2447" s="38"/>
      <c r="B2447" s="39"/>
      <c r="C2447" s="32"/>
      <c r="D2447" s="32"/>
      <c r="G2447" s="23"/>
    </row>
    <row r="2448" spans="1:7">
      <c r="A2448" s="38"/>
      <c r="B2448" s="39"/>
      <c r="C2448" s="32"/>
      <c r="D2448" s="32"/>
      <c r="G2448" s="23"/>
    </row>
    <row r="2449" spans="1:7">
      <c r="A2449" s="38"/>
      <c r="B2449" s="39"/>
      <c r="C2449" s="32"/>
      <c r="D2449" s="32"/>
      <c r="G2449" s="23"/>
    </row>
    <row r="2450" spans="1:7">
      <c r="A2450" s="38"/>
      <c r="B2450" s="39"/>
      <c r="C2450" s="32"/>
      <c r="D2450" s="32"/>
      <c r="G2450" s="23"/>
    </row>
    <row r="2451" spans="1:7">
      <c r="A2451" s="38"/>
      <c r="B2451" s="39"/>
      <c r="C2451" s="32"/>
      <c r="D2451" s="32"/>
      <c r="G2451" s="23"/>
    </row>
    <row r="2452" spans="1:7">
      <c r="A2452" s="38"/>
      <c r="B2452" s="39"/>
      <c r="C2452" s="32"/>
      <c r="D2452" s="32"/>
      <c r="G2452" s="23"/>
    </row>
    <row r="2453" spans="1:7">
      <c r="A2453" s="38"/>
      <c r="B2453" s="39"/>
      <c r="C2453" s="32"/>
      <c r="D2453" s="32"/>
      <c r="G2453" s="23"/>
    </row>
    <row r="2454" spans="1:7">
      <c r="A2454" s="38"/>
      <c r="B2454" s="39"/>
      <c r="C2454" s="32"/>
      <c r="D2454" s="32"/>
      <c r="G2454" s="23"/>
    </row>
    <row r="2455" spans="1:7">
      <c r="A2455" s="38"/>
      <c r="B2455" s="39"/>
      <c r="C2455" s="32"/>
      <c r="D2455" s="32"/>
      <c r="G2455" s="23"/>
    </row>
    <row r="2456" spans="1:7">
      <c r="A2456" s="38"/>
      <c r="B2456" s="39"/>
      <c r="C2456" s="32"/>
      <c r="D2456" s="32"/>
      <c r="G2456" s="23"/>
    </row>
    <row r="2457" spans="1:7">
      <c r="A2457" s="38"/>
      <c r="B2457" s="39"/>
      <c r="C2457" s="32"/>
      <c r="D2457" s="32"/>
      <c r="G2457" s="23"/>
    </row>
    <row r="2458" spans="1:7">
      <c r="A2458" s="38"/>
      <c r="B2458" s="39"/>
      <c r="C2458" s="32"/>
      <c r="D2458" s="32"/>
      <c r="G2458" s="23"/>
    </row>
    <row r="2459" spans="1:7">
      <c r="A2459" s="38"/>
      <c r="B2459" s="39"/>
      <c r="C2459" s="32"/>
      <c r="D2459" s="32"/>
      <c r="G2459" s="23"/>
    </row>
    <row r="2460" spans="1:7">
      <c r="A2460" s="38"/>
      <c r="B2460" s="39"/>
      <c r="C2460" s="32"/>
      <c r="D2460" s="32"/>
      <c r="G2460" s="23"/>
    </row>
    <row r="2461" spans="1:7">
      <c r="A2461" s="38"/>
      <c r="B2461" s="39"/>
      <c r="C2461" s="32"/>
      <c r="D2461" s="32"/>
      <c r="G2461" s="23"/>
    </row>
    <row r="2462" spans="1:7">
      <c r="A2462" s="38"/>
      <c r="B2462" s="39"/>
      <c r="C2462" s="32"/>
      <c r="D2462" s="32"/>
      <c r="G2462" s="23"/>
    </row>
    <row r="2463" spans="1:7">
      <c r="A2463" s="38"/>
      <c r="B2463" s="39"/>
      <c r="C2463" s="32"/>
      <c r="D2463" s="32"/>
      <c r="G2463" s="23"/>
    </row>
    <row r="2464" spans="1:7">
      <c r="A2464" s="38"/>
      <c r="B2464" s="39"/>
      <c r="C2464" s="32"/>
      <c r="D2464" s="32"/>
      <c r="G2464" s="23"/>
    </row>
    <row r="2465" spans="1:7">
      <c r="A2465" s="38"/>
      <c r="B2465" s="39"/>
      <c r="C2465" s="32"/>
      <c r="D2465" s="32"/>
      <c r="G2465" s="23"/>
    </row>
    <row r="2466" spans="1:7">
      <c r="A2466" s="38"/>
      <c r="B2466" s="39"/>
      <c r="C2466" s="32"/>
      <c r="D2466" s="32"/>
      <c r="G2466" s="23"/>
    </row>
    <row r="2467" spans="1:7">
      <c r="A2467" s="38"/>
      <c r="B2467" s="39"/>
      <c r="C2467" s="32"/>
      <c r="D2467" s="32"/>
      <c r="G2467" s="23"/>
    </row>
    <row r="2468" spans="1:7">
      <c r="A2468" s="38"/>
      <c r="B2468" s="39"/>
      <c r="C2468" s="32"/>
      <c r="D2468" s="32"/>
      <c r="G2468" s="23"/>
    </row>
    <row r="2469" spans="1:7">
      <c r="A2469" s="38"/>
      <c r="B2469" s="39"/>
      <c r="C2469" s="32"/>
      <c r="D2469" s="32"/>
      <c r="G2469" s="23"/>
    </row>
    <row r="2470" spans="1:7">
      <c r="A2470" s="38"/>
      <c r="B2470" s="39"/>
      <c r="C2470" s="32"/>
      <c r="D2470" s="32"/>
      <c r="G2470" s="23"/>
    </row>
    <row r="2471" spans="1:7">
      <c r="A2471" s="38"/>
      <c r="B2471" s="39"/>
      <c r="C2471" s="32"/>
      <c r="D2471" s="32"/>
      <c r="G2471" s="23"/>
    </row>
    <row r="2472" spans="1:7">
      <c r="A2472" s="38"/>
      <c r="B2472" s="39"/>
      <c r="C2472" s="32"/>
      <c r="D2472" s="32"/>
      <c r="G2472" s="23"/>
    </row>
    <row r="2473" spans="1:7">
      <c r="A2473" s="38"/>
      <c r="B2473" s="39"/>
      <c r="C2473" s="32"/>
      <c r="D2473" s="32"/>
      <c r="G2473" s="23"/>
    </row>
    <row r="2474" spans="1:7">
      <c r="A2474" s="38"/>
      <c r="B2474" s="39"/>
      <c r="C2474" s="32"/>
      <c r="D2474" s="32"/>
      <c r="G2474" s="23"/>
    </row>
    <row r="2475" spans="1:7">
      <c r="A2475" s="38"/>
      <c r="B2475" s="39"/>
      <c r="C2475" s="32"/>
      <c r="D2475" s="32"/>
      <c r="G2475" s="23"/>
    </row>
    <row r="2476" spans="1:7">
      <c r="A2476" s="38"/>
      <c r="B2476" s="39"/>
      <c r="C2476" s="32"/>
      <c r="D2476" s="32"/>
      <c r="G2476" s="23"/>
    </row>
    <row r="2477" spans="1:7">
      <c r="A2477" s="38"/>
      <c r="B2477" s="39"/>
      <c r="C2477" s="32"/>
      <c r="D2477" s="32"/>
      <c r="G2477" s="23"/>
    </row>
    <row r="2478" spans="1:7">
      <c r="A2478" s="38"/>
      <c r="B2478" s="39"/>
      <c r="C2478" s="32"/>
      <c r="D2478" s="32"/>
      <c r="G2478" s="23"/>
    </row>
    <row r="2479" spans="1:7">
      <c r="A2479" s="38"/>
      <c r="B2479" s="39"/>
      <c r="C2479" s="32"/>
      <c r="D2479" s="32"/>
      <c r="G2479" s="23"/>
    </row>
    <row r="2480" spans="1:7">
      <c r="A2480" s="38"/>
      <c r="B2480" s="39"/>
      <c r="C2480" s="32"/>
      <c r="D2480" s="32"/>
      <c r="G2480" s="23"/>
    </row>
    <row r="2481" spans="1:7">
      <c r="A2481" s="38"/>
      <c r="B2481" s="39"/>
      <c r="C2481" s="32"/>
      <c r="D2481" s="32"/>
      <c r="G2481" s="23"/>
    </row>
    <row r="2482" spans="1:7">
      <c r="A2482" s="38"/>
      <c r="B2482" s="39"/>
      <c r="C2482" s="32"/>
      <c r="D2482" s="32"/>
      <c r="G2482" s="23"/>
    </row>
    <row r="2483" spans="1:7">
      <c r="A2483" s="38"/>
      <c r="B2483" s="39"/>
      <c r="C2483" s="32"/>
      <c r="D2483" s="32"/>
      <c r="G2483" s="23"/>
    </row>
    <row r="2484" spans="1:7">
      <c r="A2484" s="38"/>
      <c r="B2484" s="39"/>
      <c r="C2484" s="32"/>
      <c r="D2484" s="32"/>
      <c r="G2484" s="23"/>
    </row>
    <row r="2485" spans="1:7">
      <c r="A2485" s="38"/>
      <c r="B2485" s="39"/>
      <c r="C2485" s="32"/>
      <c r="D2485" s="32"/>
      <c r="G2485" s="23"/>
    </row>
    <row r="2486" spans="1:7">
      <c r="A2486" s="38"/>
      <c r="B2486" s="39"/>
      <c r="C2486" s="32"/>
      <c r="D2486" s="32"/>
      <c r="G2486" s="23"/>
    </row>
    <row r="2487" spans="1:7">
      <c r="A2487" s="38"/>
      <c r="B2487" s="39"/>
      <c r="C2487" s="32"/>
      <c r="D2487" s="32"/>
      <c r="G2487" s="23"/>
    </row>
    <row r="2488" spans="1:7">
      <c r="A2488" s="38"/>
      <c r="B2488" s="39"/>
      <c r="C2488" s="32"/>
      <c r="D2488" s="32"/>
      <c r="G2488" s="23"/>
    </row>
    <row r="2489" spans="1:7">
      <c r="A2489" s="38"/>
      <c r="B2489" s="39"/>
      <c r="C2489" s="32"/>
      <c r="D2489" s="32"/>
      <c r="G2489" s="23"/>
    </row>
    <row r="2490" spans="1:7">
      <c r="A2490" s="38"/>
      <c r="B2490" s="39"/>
      <c r="C2490" s="32"/>
      <c r="D2490" s="32"/>
      <c r="G2490" s="23"/>
    </row>
    <row r="2491" spans="1:7">
      <c r="A2491" s="38"/>
      <c r="B2491" s="39"/>
      <c r="C2491" s="32"/>
      <c r="D2491" s="32"/>
      <c r="G2491" s="23"/>
    </row>
    <row r="2492" spans="1:7">
      <c r="A2492" s="38"/>
      <c r="B2492" s="39"/>
      <c r="C2492" s="32"/>
      <c r="D2492" s="32"/>
      <c r="G2492" s="23"/>
    </row>
    <row r="2493" spans="1:7">
      <c r="A2493" s="38"/>
      <c r="B2493" s="39"/>
      <c r="C2493" s="32"/>
      <c r="D2493" s="32"/>
      <c r="G2493" s="23"/>
    </row>
    <row r="2494" spans="1:7">
      <c r="A2494" s="38"/>
      <c r="B2494" s="39"/>
      <c r="C2494" s="32"/>
      <c r="D2494" s="32"/>
      <c r="G2494" s="23"/>
    </row>
    <row r="2495" spans="1:7">
      <c r="A2495" s="38"/>
      <c r="B2495" s="39"/>
      <c r="C2495" s="32"/>
      <c r="D2495" s="32"/>
      <c r="G2495" s="23"/>
    </row>
    <row r="2496" spans="1:7">
      <c r="A2496" s="38"/>
      <c r="B2496" s="39"/>
      <c r="C2496" s="32"/>
      <c r="D2496" s="32"/>
      <c r="G2496" s="23"/>
    </row>
    <row r="2497" spans="1:7">
      <c r="A2497" s="38"/>
      <c r="B2497" s="39"/>
      <c r="C2497" s="32"/>
      <c r="D2497" s="32"/>
      <c r="G2497" s="23"/>
    </row>
    <row r="2498" spans="1:7">
      <c r="A2498" s="38"/>
      <c r="B2498" s="39"/>
      <c r="C2498" s="32"/>
      <c r="D2498" s="32"/>
      <c r="G2498" s="23"/>
    </row>
    <row r="2499" spans="1:7">
      <c r="A2499" s="38"/>
      <c r="B2499" s="39"/>
      <c r="C2499" s="32"/>
      <c r="D2499" s="32"/>
      <c r="G2499" s="23"/>
    </row>
    <row r="2500" spans="1:7">
      <c r="A2500" s="38"/>
      <c r="B2500" s="39"/>
      <c r="C2500" s="32"/>
      <c r="D2500" s="32"/>
      <c r="G2500" s="23"/>
    </row>
    <row r="2501" spans="1:7">
      <c r="A2501" s="38"/>
      <c r="B2501" s="39"/>
      <c r="C2501" s="32"/>
      <c r="D2501" s="32"/>
      <c r="G2501" s="23"/>
    </row>
    <row r="2502" spans="1:7">
      <c r="A2502" s="38"/>
      <c r="B2502" s="39"/>
      <c r="C2502" s="32"/>
      <c r="D2502" s="32"/>
      <c r="G2502" s="23"/>
    </row>
    <row r="2503" spans="1:7">
      <c r="A2503" s="38"/>
      <c r="B2503" s="39"/>
      <c r="C2503" s="32"/>
      <c r="D2503" s="32"/>
      <c r="G2503" s="23"/>
    </row>
    <row r="2504" spans="1:7">
      <c r="A2504" s="38"/>
      <c r="B2504" s="39"/>
      <c r="C2504" s="32"/>
      <c r="D2504" s="32"/>
      <c r="G2504" s="23"/>
    </row>
    <row r="2505" spans="1:7">
      <c r="A2505" s="38"/>
      <c r="B2505" s="39"/>
      <c r="C2505" s="32"/>
      <c r="D2505" s="32"/>
      <c r="G2505" s="23"/>
    </row>
    <row r="2506" spans="1:7">
      <c r="A2506" s="38"/>
      <c r="B2506" s="39"/>
      <c r="C2506" s="32"/>
      <c r="D2506" s="32"/>
      <c r="G2506" s="23"/>
    </row>
    <row r="2507" spans="1:7">
      <c r="A2507" s="38"/>
      <c r="B2507" s="39"/>
      <c r="C2507" s="32"/>
      <c r="D2507" s="32"/>
      <c r="G2507" s="23"/>
    </row>
    <row r="2508" spans="1:7">
      <c r="A2508" s="38"/>
      <c r="B2508" s="39"/>
      <c r="C2508" s="32"/>
      <c r="D2508" s="32"/>
      <c r="G2508" s="23"/>
    </row>
    <row r="2509" spans="1:7">
      <c r="A2509" s="38"/>
      <c r="B2509" s="39"/>
      <c r="C2509" s="32"/>
      <c r="D2509" s="32"/>
      <c r="G2509" s="23"/>
    </row>
    <row r="2510" spans="1:7">
      <c r="A2510" s="38"/>
      <c r="B2510" s="39"/>
      <c r="C2510" s="32"/>
      <c r="D2510" s="32"/>
      <c r="G2510" s="23"/>
    </row>
    <row r="2511" spans="1:7">
      <c r="A2511" s="38"/>
      <c r="B2511" s="39"/>
      <c r="C2511" s="32"/>
      <c r="D2511" s="32"/>
      <c r="G2511" s="23"/>
    </row>
    <row r="2512" spans="1:7">
      <c r="A2512" s="38"/>
      <c r="B2512" s="39"/>
      <c r="C2512" s="32"/>
      <c r="D2512" s="32"/>
      <c r="G2512" s="23"/>
    </row>
    <row r="2513" spans="1:7">
      <c r="A2513" s="38"/>
      <c r="B2513" s="39"/>
      <c r="C2513" s="32"/>
      <c r="D2513" s="32"/>
      <c r="G2513" s="23"/>
    </row>
    <row r="2514" spans="1:7">
      <c r="A2514" s="38"/>
      <c r="B2514" s="39"/>
      <c r="C2514" s="32"/>
      <c r="D2514" s="32"/>
      <c r="G2514" s="23"/>
    </row>
    <row r="2515" spans="1:7">
      <c r="A2515" s="38"/>
      <c r="B2515" s="39"/>
      <c r="C2515" s="32"/>
      <c r="D2515" s="32"/>
      <c r="G2515" s="23"/>
    </row>
    <row r="2516" spans="1:7">
      <c r="A2516" s="38"/>
      <c r="B2516" s="39"/>
      <c r="C2516" s="32"/>
      <c r="D2516" s="32"/>
      <c r="G2516" s="23"/>
    </row>
    <row r="2517" spans="1:7">
      <c r="A2517" s="38"/>
      <c r="B2517" s="39"/>
      <c r="C2517" s="32"/>
      <c r="D2517" s="32"/>
      <c r="G2517" s="23"/>
    </row>
    <row r="2518" spans="1:7">
      <c r="A2518" s="38"/>
      <c r="B2518" s="39"/>
      <c r="C2518" s="32"/>
      <c r="D2518" s="32"/>
      <c r="G2518" s="23"/>
    </row>
    <row r="2519" spans="1:7">
      <c r="A2519" s="38"/>
      <c r="B2519" s="39"/>
      <c r="C2519" s="32"/>
      <c r="D2519" s="32"/>
      <c r="G2519" s="23"/>
    </row>
    <row r="2520" spans="1:7">
      <c r="A2520" s="38"/>
      <c r="B2520" s="39"/>
      <c r="C2520" s="32"/>
      <c r="D2520" s="32"/>
      <c r="G2520" s="23"/>
    </row>
    <row r="2521" spans="1:7">
      <c r="A2521" s="38"/>
      <c r="B2521" s="39"/>
      <c r="C2521" s="32"/>
      <c r="D2521" s="32"/>
      <c r="G2521" s="23"/>
    </row>
    <row r="2522" spans="1:7">
      <c r="A2522" s="38"/>
      <c r="B2522" s="39"/>
      <c r="C2522" s="32"/>
      <c r="D2522" s="32"/>
      <c r="G2522" s="23"/>
    </row>
    <row r="2523" spans="1:7">
      <c r="A2523" s="38"/>
      <c r="B2523" s="39"/>
      <c r="C2523" s="32"/>
      <c r="D2523" s="32"/>
      <c r="G2523" s="23"/>
    </row>
    <row r="2524" spans="1:7">
      <c r="A2524" s="38"/>
      <c r="B2524" s="39"/>
      <c r="C2524" s="32"/>
      <c r="D2524" s="32"/>
      <c r="G2524" s="23"/>
    </row>
    <row r="2525" spans="1:7">
      <c r="A2525" s="38"/>
      <c r="B2525" s="39"/>
      <c r="C2525" s="32"/>
      <c r="D2525" s="32"/>
      <c r="G2525" s="23"/>
    </row>
    <row r="2526" spans="1:7">
      <c r="A2526" s="38"/>
      <c r="B2526" s="39"/>
      <c r="C2526" s="32"/>
      <c r="D2526" s="32"/>
      <c r="G2526" s="23"/>
    </row>
    <row r="2527" spans="1:7">
      <c r="A2527" s="38"/>
      <c r="B2527" s="39"/>
      <c r="C2527" s="32"/>
      <c r="D2527" s="32"/>
      <c r="G2527" s="23"/>
    </row>
    <row r="2528" spans="1:7">
      <c r="A2528" s="38"/>
      <c r="B2528" s="39"/>
      <c r="C2528" s="32"/>
      <c r="D2528" s="32"/>
      <c r="G2528" s="23"/>
    </row>
    <row r="2529" spans="1:7">
      <c r="A2529" s="38"/>
      <c r="B2529" s="39"/>
      <c r="C2529" s="32"/>
      <c r="D2529" s="32"/>
      <c r="G2529" s="23"/>
    </row>
    <row r="2530" spans="1:7">
      <c r="A2530" s="38"/>
      <c r="B2530" s="39"/>
      <c r="C2530" s="32"/>
      <c r="D2530" s="32"/>
      <c r="G2530" s="23"/>
    </row>
    <row r="2531" spans="1:7">
      <c r="A2531" s="38"/>
      <c r="B2531" s="39"/>
      <c r="C2531" s="32"/>
      <c r="D2531" s="32"/>
      <c r="G2531" s="23"/>
    </row>
    <row r="2532" spans="1:7">
      <c r="A2532" s="38"/>
      <c r="B2532" s="39"/>
      <c r="C2532" s="32"/>
      <c r="D2532" s="32"/>
      <c r="G2532" s="23"/>
    </row>
    <row r="2533" spans="1:7">
      <c r="A2533" s="38"/>
      <c r="B2533" s="39"/>
      <c r="C2533" s="32"/>
      <c r="D2533" s="32"/>
      <c r="G2533" s="23"/>
    </row>
    <row r="2534" spans="1:7">
      <c r="A2534" s="38"/>
      <c r="B2534" s="39"/>
      <c r="C2534" s="32"/>
      <c r="D2534" s="32"/>
      <c r="G2534" s="23"/>
    </row>
    <row r="2535" spans="1:7">
      <c r="A2535" s="38"/>
      <c r="B2535" s="39"/>
      <c r="C2535" s="32"/>
      <c r="D2535" s="32"/>
      <c r="G2535" s="23"/>
    </row>
    <row r="2536" spans="1:7">
      <c r="A2536" s="38"/>
      <c r="B2536" s="39"/>
      <c r="C2536" s="32"/>
      <c r="D2536" s="32"/>
      <c r="G2536" s="23"/>
    </row>
    <row r="2537" spans="1:7">
      <c r="A2537" s="38"/>
      <c r="B2537" s="39"/>
      <c r="C2537" s="32"/>
      <c r="D2537" s="32"/>
      <c r="G2537" s="23"/>
    </row>
    <row r="2538" spans="1:7">
      <c r="A2538" s="38"/>
      <c r="B2538" s="39"/>
      <c r="C2538" s="32"/>
      <c r="D2538" s="32"/>
      <c r="G2538" s="23"/>
    </row>
    <row r="2539" spans="1:7">
      <c r="A2539" s="38"/>
      <c r="B2539" s="39"/>
      <c r="C2539" s="32"/>
      <c r="D2539" s="32"/>
      <c r="G2539" s="23"/>
    </row>
    <row r="2540" spans="1:7">
      <c r="A2540" s="38"/>
      <c r="B2540" s="39"/>
      <c r="C2540" s="32"/>
      <c r="D2540" s="32"/>
      <c r="G2540" s="23"/>
    </row>
    <row r="2541" spans="1:7">
      <c r="A2541" s="38"/>
      <c r="B2541" s="39"/>
      <c r="C2541" s="32"/>
      <c r="D2541" s="32"/>
      <c r="G2541" s="23"/>
    </row>
    <row r="2542" spans="1:7">
      <c r="A2542" s="38"/>
      <c r="B2542" s="39"/>
      <c r="C2542" s="32"/>
      <c r="D2542" s="32"/>
      <c r="G2542" s="23"/>
    </row>
    <row r="2543" spans="1:7">
      <c r="A2543" s="38"/>
      <c r="B2543" s="39"/>
      <c r="C2543" s="32"/>
      <c r="D2543" s="32"/>
      <c r="G2543" s="23"/>
    </row>
    <row r="2544" spans="1:7">
      <c r="A2544" s="38"/>
      <c r="B2544" s="39"/>
      <c r="C2544" s="32"/>
      <c r="D2544" s="32"/>
      <c r="G2544" s="23"/>
    </row>
    <row r="2545" spans="1:7">
      <c r="A2545" s="38"/>
      <c r="B2545" s="39"/>
      <c r="C2545" s="32"/>
      <c r="D2545" s="32"/>
      <c r="G2545" s="23"/>
    </row>
    <row r="2546" spans="1:7">
      <c r="A2546" s="38"/>
      <c r="B2546" s="39"/>
      <c r="C2546" s="32"/>
      <c r="D2546" s="32"/>
      <c r="G2546" s="23"/>
    </row>
    <row r="2547" spans="1:7">
      <c r="A2547" s="38"/>
      <c r="B2547" s="39"/>
      <c r="C2547" s="32"/>
      <c r="D2547" s="32"/>
      <c r="G2547" s="23"/>
    </row>
    <row r="2548" spans="1:7">
      <c r="A2548" s="38"/>
      <c r="B2548" s="39"/>
      <c r="C2548" s="32"/>
      <c r="D2548" s="32"/>
      <c r="G2548" s="23"/>
    </row>
    <row r="2549" spans="1:7">
      <c r="A2549" s="38"/>
      <c r="B2549" s="39"/>
      <c r="C2549" s="32"/>
      <c r="D2549" s="32"/>
      <c r="G2549" s="23"/>
    </row>
    <row r="2550" spans="1:7">
      <c r="A2550" s="38"/>
      <c r="B2550" s="39"/>
      <c r="C2550" s="32"/>
      <c r="D2550" s="32"/>
      <c r="G2550" s="23"/>
    </row>
    <row r="2551" spans="1:7">
      <c r="A2551" s="38"/>
      <c r="B2551" s="39"/>
      <c r="C2551" s="32"/>
      <c r="D2551" s="32"/>
      <c r="G2551" s="23"/>
    </row>
    <row r="2552" spans="1:7">
      <c r="A2552" s="38"/>
      <c r="B2552" s="39"/>
      <c r="C2552" s="32"/>
      <c r="D2552" s="32"/>
      <c r="G2552" s="23"/>
    </row>
    <row r="2553" spans="1:7">
      <c r="A2553" s="38"/>
      <c r="B2553" s="39"/>
      <c r="C2553" s="32"/>
      <c r="D2553" s="32"/>
      <c r="G2553" s="23"/>
    </row>
    <row r="2554" spans="1:7">
      <c r="A2554" s="38"/>
      <c r="B2554" s="39"/>
      <c r="C2554" s="32"/>
      <c r="D2554" s="32"/>
      <c r="G2554" s="23"/>
    </row>
    <row r="2555" spans="1:7">
      <c r="A2555" s="38"/>
      <c r="B2555" s="39"/>
      <c r="C2555" s="32"/>
      <c r="D2555" s="32"/>
      <c r="G2555" s="23"/>
    </row>
    <row r="2556" spans="1:7">
      <c r="A2556" s="38"/>
      <c r="B2556" s="39"/>
      <c r="C2556" s="32"/>
      <c r="D2556" s="32"/>
      <c r="G2556" s="23"/>
    </row>
    <row r="2557" spans="1:7">
      <c r="A2557" s="38"/>
      <c r="B2557" s="39"/>
      <c r="C2557" s="32"/>
      <c r="D2557" s="32"/>
      <c r="G2557" s="23"/>
    </row>
    <row r="2558" spans="1:7">
      <c r="A2558" s="38"/>
      <c r="B2558" s="39"/>
      <c r="C2558" s="32"/>
      <c r="D2558" s="32"/>
      <c r="G2558" s="23"/>
    </row>
    <row r="2559" spans="1:7">
      <c r="A2559" s="38"/>
      <c r="B2559" s="39"/>
      <c r="C2559" s="32"/>
      <c r="D2559" s="32"/>
      <c r="G2559" s="23"/>
    </row>
    <row r="2560" spans="1:7">
      <c r="A2560" s="38"/>
      <c r="B2560" s="39"/>
      <c r="C2560" s="32"/>
      <c r="D2560" s="32"/>
      <c r="G2560" s="23"/>
    </row>
    <row r="2561" spans="1:7">
      <c r="A2561" s="38"/>
      <c r="B2561" s="39"/>
      <c r="C2561" s="32"/>
      <c r="D2561" s="32"/>
      <c r="G2561" s="23"/>
    </row>
    <row r="2562" spans="1:7">
      <c r="A2562" s="38"/>
      <c r="B2562" s="39"/>
      <c r="C2562" s="32"/>
      <c r="D2562" s="32"/>
      <c r="G2562" s="23"/>
    </row>
    <row r="2563" spans="1:7">
      <c r="A2563" s="38"/>
      <c r="B2563" s="39"/>
      <c r="C2563" s="32"/>
      <c r="D2563" s="32"/>
      <c r="G2563" s="23"/>
    </row>
    <row r="2564" spans="1:7">
      <c r="A2564" s="38"/>
      <c r="B2564" s="39"/>
      <c r="C2564" s="32"/>
      <c r="D2564" s="32"/>
      <c r="G2564" s="23"/>
    </row>
    <row r="2565" spans="1:7">
      <c r="A2565" s="38"/>
      <c r="B2565" s="39"/>
      <c r="C2565" s="32"/>
      <c r="D2565" s="32"/>
      <c r="G2565" s="23"/>
    </row>
    <row r="2566" spans="1:7">
      <c r="A2566" s="38"/>
      <c r="B2566" s="39"/>
      <c r="C2566" s="32"/>
      <c r="D2566" s="32"/>
      <c r="G2566" s="23"/>
    </row>
    <row r="2567" spans="1:7">
      <c r="A2567" s="38"/>
      <c r="B2567" s="39"/>
      <c r="C2567" s="32"/>
      <c r="D2567" s="32"/>
      <c r="G2567" s="23"/>
    </row>
    <row r="2568" spans="1:7">
      <c r="A2568" s="38"/>
      <c r="B2568" s="39"/>
      <c r="C2568" s="32"/>
      <c r="D2568" s="32"/>
      <c r="G2568" s="23"/>
    </row>
    <row r="2569" spans="1:7">
      <c r="A2569" s="38"/>
      <c r="B2569" s="39"/>
      <c r="C2569" s="32"/>
      <c r="D2569" s="32"/>
      <c r="G2569" s="23"/>
    </row>
    <row r="2570" spans="1:7">
      <c r="A2570" s="38"/>
      <c r="B2570" s="39"/>
      <c r="C2570" s="32"/>
      <c r="D2570" s="32"/>
      <c r="G2570" s="23"/>
    </row>
    <row r="2571" spans="1:7">
      <c r="A2571" s="38"/>
      <c r="B2571" s="39"/>
      <c r="C2571" s="32"/>
      <c r="D2571" s="32"/>
      <c r="G2571" s="23"/>
    </row>
    <row r="2572" spans="1:7">
      <c r="A2572" s="38"/>
      <c r="B2572" s="39"/>
      <c r="C2572" s="32"/>
      <c r="D2572" s="32"/>
      <c r="G2572" s="23"/>
    </row>
    <row r="2573" spans="1:7">
      <c r="A2573" s="38"/>
      <c r="B2573" s="39"/>
      <c r="C2573" s="32"/>
      <c r="D2573" s="32"/>
      <c r="G2573" s="23"/>
    </row>
    <row r="2574" spans="1:7">
      <c r="A2574" s="38"/>
      <c r="B2574" s="39"/>
      <c r="C2574" s="32"/>
      <c r="D2574" s="32"/>
      <c r="G2574" s="23"/>
    </row>
    <row r="2575" spans="1:7">
      <c r="A2575" s="38"/>
      <c r="B2575" s="39"/>
      <c r="C2575" s="32"/>
      <c r="D2575" s="32"/>
      <c r="G2575" s="23"/>
    </row>
    <row r="2576" spans="1:7">
      <c r="A2576" s="38"/>
      <c r="B2576" s="39"/>
      <c r="C2576" s="32"/>
      <c r="D2576" s="32"/>
      <c r="G2576" s="23"/>
    </row>
    <row r="2577" spans="1:7">
      <c r="A2577" s="38"/>
      <c r="B2577" s="39"/>
      <c r="C2577" s="32"/>
      <c r="D2577" s="32"/>
      <c r="G2577" s="23"/>
    </row>
    <row r="2578" spans="1:7">
      <c r="A2578" s="38"/>
      <c r="B2578" s="39"/>
      <c r="C2578" s="32"/>
      <c r="D2578" s="32"/>
      <c r="G2578" s="23"/>
    </row>
    <row r="2579" spans="1:7">
      <c r="A2579" s="38"/>
      <c r="B2579" s="39"/>
      <c r="C2579" s="32"/>
      <c r="D2579" s="32"/>
      <c r="G2579" s="23"/>
    </row>
    <row r="2580" spans="1:7">
      <c r="A2580" s="38"/>
      <c r="B2580" s="39"/>
      <c r="C2580" s="32"/>
      <c r="D2580" s="32"/>
      <c r="G2580" s="23"/>
    </row>
    <row r="2581" spans="1:7">
      <c r="A2581" s="38"/>
      <c r="B2581" s="39"/>
      <c r="C2581" s="32"/>
      <c r="D2581" s="32"/>
      <c r="G2581" s="23"/>
    </row>
    <row r="2582" spans="1:7">
      <c r="A2582" s="38"/>
      <c r="B2582" s="39"/>
      <c r="C2582" s="32"/>
      <c r="D2582" s="32"/>
      <c r="G2582" s="23"/>
    </row>
    <row r="2583" spans="1:7">
      <c r="A2583" s="38"/>
      <c r="B2583" s="39"/>
      <c r="C2583" s="32"/>
      <c r="D2583" s="32"/>
      <c r="G2583" s="23"/>
    </row>
    <row r="2584" spans="1:7">
      <c r="A2584" s="38"/>
      <c r="B2584" s="39"/>
      <c r="C2584" s="32"/>
      <c r="D2584" s="32"/>
      <c r="G2584" s="23"/>
    </row>
    <row r="2585" spans="1:7">
      <c r="A2585" s="38"/>
      <c r="B2585" s="39"/>
      <c r="C2585" s="32"/>
      <c r="D2585" s="32"/>
      <c r="G2585" s="23"/>
    </row>
    <row r="2586" spans="1:7">
      <c r="A2586" s="38"/>
      <c r="B2586" s="39"/>
      <c r="C2586" s="32"/>
      <c r="D2586" s="32"/>
      <c r="G2586" s="23"/>
    </row>
    <row r="2587" spans="1:7">
      <c r="A2587" s="38"/>
      <c r="B2587" s="39"/>
      <c r="C2587" s="32"/>
      <c r="D2587" s="32"/>
      <c r="G2587" s="23"/>
    </row>
    <row r="2588" spans="1:7">
      <c r="A2588" s="38"/>
      <c r="B2588" s="39"/>
      <c r="C2588" s="32"/>
      <c r="D2588" s="32"/>
      <c r="G2588" s="23"/>
    </row>
    <row r="2589" spans="1:7">
      <c r="A2589" s="38"/>
      <c r="B2589" s="39"/>
      <c r="C2589" s="32"/>
      <c r="D2589" s="32"/>
      <c r="G2589" s="23"/>
    </row>
    <row r="2590" spans="1:7">
      <c r="A2590" s="38"/>
      <c r="B2590" s="39"/>
      <c r="C2590" s="32"/>
      <c r="D2590" s="32"/>
      <c r="G2590" s="23"/>
    </row>
    <row r="2591" spans="1:7">
      <c r="A2591" s="38"/>
      <c r="B2591" s="39"/>
      <c r="C2591" s="32"/>
      <c r="D2591" s="32"/>
      <c r="G2591" s="23"/>
    </row>
    <row r="2592" spans="1:7">
      <c r="A2592" s="38"/>
      <c r="B2592" s="39"/>
      <c r="C2592" s="32"/>
      <c r="D2592" s="32"/>
      <c r="G2592" s="23"/>
    </row>
    <row r="2593" spans="1:7">
      <c r="A2593" s="38"/>
      <c r="B2593" s="39"/>
      <c r="C2593" s="32"/>
      <c r="D2593" s="32"/>
      <c r="G2593" s="23"/>
    </row>
    <row r="2594" spans="1:7">
      <c r="A2594" s="38"/>
      <c r="B2594" s="39"/>
      <c r="C2594" s="32"/>
      <c r="D2594" s="32"/>
      <c r="G2594" s="23"/>
    </row>
    <row r="2595" spans="1:7">
      <c r="A2595" s="38"/>
      <c r="B2595" s="39"/>
      <c r="C2595" s="32"/>
      <c r="D2595" s="32"/>
      <c r="G2595" s="23"/>
    </row>
    <row r="2596" spans="1:7">
      <c r="A2596" s="38"/>
      <c r="B2596" s="39"/>
      <c r="C2596" s="32"/>
      <c r="D2596" s="32"/>
      <c r="G2596" s="23"/>
    </row>
    <row r="2597" spans="1:7">
      <c r="A2597" s="38"/>
      <c r="B2597" s="39"/>
      <c r="C2597" s="32"/>
      <c r="D2597" s="32"/>
      <c r="G2597" s="23"/>
    </row>
    <row r="2598" spans="1:7">
      <c r="A2598" s="38"/>
      <c r="B2598" s="39"/>
      <c r="C2598" s="32"/>
      <c r="D2598" s="32"/>
      <c r="G2598" s="23"/>
    </row>
    <row r="2599" spans="1:7">
      <c r="A2599" s="38"/>
      <c r="B2599" s="39"/>
      <c r="C2599" s="32"/>
      <c r="D2599" s="32"/>
      <c r="G2599" s="23"/>
    </row>
    <row r="2600" spans="1:7">
      <c r="A2600" s="38"/>
      <c r="B2600" s="39"/>
      <c r="C2600" s="32"/>
      <c r="D2600" s="32"/>
      <c r="G2600" s="23"/>
    </row>
    <row r="2601" spans="1:7">
      <c r="A2601" s="38"/>
      <c r="B2601" s="39"/>
      <c r="C2601" s="32"/>
      <c r="D2601" s="32"/>
      <c r="G2601" s="23"/>
    </row>
    <row r="2602" spans="1:7">
      <c r="A2602" s="38"/>
      <c r="B2602" s="39"/>
      <c r="C2602" s="32"/>
      <c r="D2602" s="32"/>
      <c r="G2602" s="23"/>
    </row>
    <row r="2603" spans="1:7">
      <c r="A2603" s="38"/>
      <c r="B2603" s="39"/>
      <c r="C2603" s="32"/>
      <c r="D2603" s="32"/>
      <c r="G2603" s="23"/>
    </row>
    <row r="2604" spans="1:7">
      <c r="A2604" s="38"/>
      <c r="B2604" s="39"/>
      <c r="C2604" s="32"/>
      <c r="D2604" s="32"/>
      <c r="G2604" s="23"/>
    </row>
    <row r="2605" spans="1:7">
      <c r="A2605" s="38"/>
      <c r="B2605" s="39"/>
      <c r="C2605" s="32"/>
      <c r="D2605" s="32"/>
      <c r="G2605" s="23"/>
    </row>
    <row r="2606" spans="1:7">
      <c r="A2606" s="38"/>
      <c r="B2606" s="39"/>
      <c r="C2606" s="32"/>
      <c r="D2606" s="32"/>
      <c r="G2606" s="23"/>
    </row>
    <row r="2607" spans="1:7">
      <c r="A2607" s="38"/>
      <c r="B2607" s="39"/>
      <c r="C2607" s="32"/>
      <c r="D2607" s="32"/>
      <c r="G2607" s="23"/>
    </row>
    <row r="2608" spans="1:7">
      <c r="A2608" s="38"/>
      <c r="B2608" s="39"/>
      <c r="C2608" s="32"/>
      <c r="D2608" s="32"/>
      <c r="G2608" s="23"/>
    </row>
    <row r="2609" spans="1:7">
      <c r="A2609" s="38"/>
      <c r="B2609" s="39"/>
      <c r="C2609" s="32"/>
      <c r="D2609" s="32"/>
      <c r="G2609" s="23"/>
    </row>
    <row r="2610" spans="1:7">
      <c r="A2610" s="38"/>
      <c r="B2610" s="39"/>
      <c r="C2610" s="32"/>
      <c r="D2610" s="32"/>
      <c r="G2610" s="23"/>
    </row>
    <row r="2611" spans="1:7">
      <c r="A2611" s="38"/>
      <c r="B2611" s="39"/>
      <c r="C2611" s="32"/>
      <c r="D2611" s="32"/>
      <c r="G2611" s="23"/>
    </row>
    <row r="2612" spans="1:7">
      <c r="A2612" s="38"/>
      <c r="B2612" s="39"/>
      <c r="C2612" s="32"/>
      <c r="D2612" s="32"/>
      <c r="G2612" s="23"/>
    </row>
    <row r="2613" spans="1:7">
      <c r="A2613" s="38"/>
      <c r="B2613" s="39"/>
      <c r="C2613" s="32"/>
      <c r="D2613" s="32"/>
      <c r="G2613" s="23"/>
    </row>
    <row r="2614" spans="1:7">
      <c r="A2614" s="38"/>
      <c r="B2614" s="39"/>
      <c r="C2614" s="32"/>
      <c r="D2614" s="32"/>
      <c r="G2614" s="23"/>
    </row>
    <row r="2615" spans="1:7">
      <c r="A2615" s="38"/>
      <c r="B2615" s="39"/>
      <c r="C2615" s="32"/>
      <c r="D2615" s="32"/>
      <c r="G2615" s="23"/>
    </row>
    <row r="2616" spans="1:7">
      <c r="A2616" s="38"/>
      <c r="B2616" s="39"/>
      <c r="C2616" s="32"/>
      <c r="D2616" s="32"/>
      <c r="G2616" s="23"/>
    </row>
    <row r="2617" spans="1:7">
      <c r="A2617" s="38"/>
      <c r="B2617" s="39"/>
      <c r="C2617" s="32"/>
      <c r="D2617" s="32"/>
      <c r="G2617" s="23"/>
    </row>
    <row r="2618" spans="1:7">
      <c r="A2618" s="38"/>
      <c r="B2618" s="39"/>
      <c r="C2618" s="32"/>
      <c r="D2618" s="32"/>
      <c r="G2618" s="23"/>
    </row>
    <row r="2619" spans="1:7">
      <c r="A2619" s="38"/>
      <c r="B2619" s="39"/>
      <c r="C2619" s="32"/>
      <c r="D2619" s="32"/>
      <c r="G2619" s="23"/>
    </row>
    <row r="2620" spans="1:7">
      <c r="A2620" s="38"/>
      <c r="B2620" s="39"/>
      <c r="C2620" s="32"/>
      <c r="D2620" s="32"/>
      <c r="G2620" s="23"/>
    </row>
    <row r="2621" spans="1:7">
      <c r="A2621" s="38"/>
      <c r="B2621" s="39"/>
      <c r="C2621" s="32"/>
      <c r="D2621" s="32"/>
      <c r="G2621" s="23"/>
    </row>
    <row r="2622" spans="1:7">
      <c r="A2622" s="38"/>
      <c r="B2622" s="39"/>
      <c r="C2622" s="32"/>
      <c r="D2622" s="32"/>
      <c r="G2622" s="23"/>
    </row>
    <row r="2623" spans="1:7">
      <c r="A2623" s="38"/>
      <c r="B2623" s="39"/>
      <c r="C2623" s="32"/>
      <c r="D2623" s="32"/>
      <c r="G2623" s="23"/>
    </row>
    <row r="2624" spans="1:7">
      <c r="A2624" s="38"/>
      <c r="B2624" s="39"/>
      <c r="C2624" s="32"/>
      <c r="D2624" s="32"/>
      <c r="G2624" s="23"/>
    </row>
    <row r="2625" spans="1:7">
      <c r="A2625" s="38"/>
      <c r="B2625" s="39"/>
      <c r="C2625" s="32"/>
      <c r="D2625" s="32"/>
      <c r="G2625" s="23"/>
    </row>
    <row r="2626" spans="1:7">
      <c r="A2626" s="38"/>
      <c r="B2626" s="39"/>
      <c r="C2626" s="32"/>
      <c r="D2626" s="32"/>
      <c r="G2626" s="23"/>
    </row>
    <row r="2627" spans="1:7">
      <c r="A2627" s="38"/>
      <c r="B2627" s="39"/>
      <c r="C2627" s="32"/>
      <c r="D2627" s="32"/>
      <c r="G2627" s="23"/>
    </row>
    <row r="2628" spans="1:7">
      <c r="A2628" s="38"/>
      <c r="B2628" s="39"/>
      <c r="C2628" s="32"/>
      <c r="D2628" s="32"/>
      <c r="G2628" s="23"/>
    </row>
    <row r="2629" spans="1:7">
      <c r="A2629" s="38"/>
      <c r="B2629" s="39"/>
      <c r="C2629" s="32"/>
      <c r="D2629" s="32"/>
      <c r="G2629" s="23"/>
    </row>
    <row r="2630" spans="1:7">
      <c r="A2630" s="38"/>
      <c r="B2630" s="39"/>
      <c r="C2630" s="32"/>
      <c r="D2630" s="32"/>
      <c r="G2630" s="23"/>
    </row>
    <row r="2631" spans="1:7">
      <c r="A2631" s="38"/>
      <c r="B2631" s="39"/>
      <c r="C2631" s="32"/>
      <c r="D2631" s="32"/>
      <c r="G2631" s="23"/>
    </row>
    <row r="2632" spans="1:7">
      <c r="A2632" s="38"/>
      <c r="B2632" s="39"/>
      <c r="C2632" s="32"/>
      <c r="D2632" s="32"/>
      <c r="G2632" s="23"/>
    </row>
    <row r="2633" spans="1:7">
      <c r="A2633" s="38"/>
      <c r="B2633" s="39"/>
      <c r="C2633" s="32"/>
      <c r="D2633" s="32"/>
      <c r="G2633" s="23"/>
    </row>
    <row r="2634" spans="1:7">
      <c r="A2634" s="38"/>
      <c r="B2634" s="39"/>
      <c r="C2634" s="32"/>
      <c r="D2634" s="32"/>
      <c r="G2634" s="23"/>
    </row>
    <row r="2635" spans="1:7">
      <c r="A2635" s="38"/>
      <c r="B2635" s="39"/>
      <c r="C2635" s="32"/>
      <c r="D2635" s="32"/>
      <c r="G2635" s="23"/>
    </row>
    <row r="2636" spans="1:7">
      <c r="A2636" s="38"/>
      <c r="B2636" s="39"/>
      <c r="C2636" s="32"/>
      <c r="D2636" s="32"/>
      <c r="G2636" s="23"/>
    </row>
    <row r="2637" spans="1:7">
      <c r="A2637" s="38"/>
      <c r="B2637" s="39"/>
      <c r="C2637" s="32"/>
      <c r="D2637" s="32"/>
      <c r="G2637" s="23"/>
    </row>
    <row r="2638" spans="1:7">
      <c r="A2638" s="38"/>
      <c r="B2638" s="39"/>
      <c r="C2638" s="32"/>
      <c r="D2638" s="32"/>
      <c r="G2638" s="23"/>
    </row>
    <row r="2639" spans="1:7">
      <c r="A2639" s="38"/>
      <c r="B2639" s="39"/>
      <c r="C2639" s="32"/>
      <c r="D2639" s="32"/>
      <c r="G2639" s="23"/>
    </row>
    <row r="2640" spans="1:7">
      <c r="A2640" s="38"/>
      <c r="B2640" s="39"/>
      <c r="C2640" s="32"/>
      <c r="D2640" s="32"/>
      <c r="G2640" s="23"/>
    </row>
    <row r="2641" spans="1:7">
      <c r="A2641" s="38"/>
      <c r="B2641" s="39"/>
      <c r="C2641" s="32"/>
      <c r="D2641" s="32"/>
      <c r="G2641" s="23"/>
    </row>
    <row r="2642" spans="1:7">
      <c r="A2642" s="38"/>
      <c r="B2642" s="39"/>
      <c r="C2642" s="32"/>
      <c r="D2642" s="32"/>
      <c r="G2642" s="23"/>
    </row>
    <row r="2643" spans="1:7">
      <c r="A2643" s="38"/>
      <c r="B2643" s="39"/>
      <c r="C2643" s="32"/>
      <c r="D2643" s="32"/>
      <c r="G2643" s="23"/>
    </row>
    <row r="2644" spans="1:7">
      <c r="A2644" s="38"/>
      <c r="B2644" s="39"/>
      <c r="C2644" s="32"/>
      <c r="D2644" s="32"/>
      <c r="G2644" s="23"/>
    </row>
    <row r="2645" spans="1:7">
      <c r="A2645" s="38"/>
      <c r="B2645" s="39"/>
      <c r="C2645" s="32"/>
      <c r="D2645" s="32"/>
      <c r="G2645" s="23"/>
    </row>
    <row r="2646" spans="1:7">
      <c r="A2646" s="38"/>
      <c r="B2646" s="39"/>
      <c r="C2646" s="32"/>
      <c r="D2646" s="32"/>
      <c r="G2646" s="23"/>
    </row>
    <row r="2647" spans="1:7">
      <c r="A2647" s="38"/>
      <c r="B2647" s="39"/>
      <c r="C2647" s="32"/>
      <c r="D2647" s="32"/>
      <c r="G2647" s="23"/>
    </row>
    <row r="2648" spans="1:7">
      <c r="A2648" s="38"/>
      <c r="B2648" s="39"/>
      <c r="C2648" s="32"/>
      <c r="D2648" s="32"/>
      <c r="G2648" s="23"/>
    </row>
    <row r="2649" spans="1:7">
      <c r="A2649" s="38"/>
      <c r="B2649" s="39"/>
      <c r="C2649" s="32"/>
      <c r="D2649" s="32"/>
      <c r="G2649" s="23"/>
    </row>
    <row r="2650" spans="1:7">
      <c r="A2650" s="38"/>
      <c r="B2650" s="39"/>
      <c r="C2650" s="32"/>
      <c r="D2650" s="32"/>
      <c r="G2650" s="23"/>
    </row>
    <row r="2651" spans="1:7">
      <c r="A2651" s="38"/>
      <c r="B2651" s="39"/>
      <c r="C2651" s="32"/>
      <c r="D2651" s="32"/>
      <c r="G2651" s="23"/>
    </row>
    <row r="2652" spans="1:7">
      <c r="A2652" s="38"/>
      <c r="B2652" s="39"/>
      <c r="C2652" s="32"/>
      <c r="D2652" s="32"/>
      <c r="G2652" s="23"/>
    </row>
    <row r="2653" spans="1:7">
      <c r="A2653" s="38"/>
      <c r="B2653" s="39"/>
      <c r="C2653" s="32"/>
      <c r="D2653" s="32"/>
      <c r="G2653" s="23"/>
    </row>
    <row r="2654" spans="1:7">
      <c r="A2654" s="38"/>
      <c r="B2654" s="39"/>
      <c r="C2654" s="32"/>
      <c r="D2654" s="32"/>
      <c r="G2654" s="23"/>
    </row>
    <row r="2655" spans="1:7">
      <c r="A2655" s="38"/>
      <c r="B2655" s="39"/>
      <c r="C2655" s="32"/>
      <c r="D2655" s="32"/>
      <c r="G2655" s="23"/>
    </row>
    <row r="2656" spans="1:7">
      <c r="A2656" s="38"/>
      <c r="B2656" s="39"/>
      <c r="C2656" s="32"/>
      <c r="D2656" s="32"/>
      <c r="G2656" s="23"/>
    </row>
    <row r="2657" spans="1:7">
      <c r="A2657" s="38"/>
      <c r="B2657" s="39"/>
      <c r="C2657" s="32"/>
      <c r="D2657" s="32"/>
      <c r="G2657" s="23"/>
    </row>
    <row r="2658" spans="1:7">
      <c r="A2658" s="38"/>
      <c r="B2658" s="39"/>
      <c r="C2658" s="32"/>
      <c r="D2658" s="32"/>
      <c r="G2658" s="23"/>
    </row>
    <row r="2659" spans="1:7">
      <c r="A2659" s="38"/>
      <c r="B2659" s="39"/>
      <c r="C2659" s="32"/>
      <c r="D2659" s="32"/>
      <c r="G2659" s="23"/>
    </row>
    <row r="2660" spans="1:7">
      <c r="A2660" s="38"/>
      <c r="B2660" s="39"/>
      <c r="C2660" s="32"/>
      <c r="D2660" s="32"/>
      <c r="G2660" s="23"/>
    </row>
    <row r="2661" spans="1:7">
      <c r="A2661" s="38"/>
      <c r="B2661" s="39"/>
      <c r="C2661" s="32"/>
      <c r="D2661" s="32"/>
      <c r="G2661" s="23"/>
    </row>
    <row r="2662" spans="1:7">
      <c r="A2662" s="38"/>
      <c r="B2662" s="39"/>
      <c r="C2662" s="32"/>
      <c r="D2662" s="32"/>
      <c r="G2662" s="23"/>
    </row>
    <row r="2663" spans="1:7">
      <c r="A2663" s="38"/>
      <c r="B2663" s="39"/>
      <c r="C2663" s="32"/>
      <c r="D2663" s="32"/>
      <c r="G2663" s="23"/>
    </row>
    <row r="2664" spans="1:7">
      <c r="A2664" s="38"/>
      <c r="B2664" s="39"/>
      <c r="C2664" s="32"/>
      <c r="D2664" s="32"/>
      <c r="G2664" s="23"/>
    </row>
    <row r="2665" spans="1:7">
      <c r="A2665" s="38"/>
      <c r="B2665" s="39"/>
      <c r="C2665" s="32"/>
      <c r="D2665" s="32"/>
      <c r="G2665" s="23"/>
    </row>
    <row r="2666" spans="1:7">
      <c r="A2666" s="38"/>
      <c r="B2666" s="39"/>
      <c r="C2666" s="32"/>
      <c r="D2666" s="32"/>
      <c r="G2666" s="23"/>
    </row>
    <row r="2667" spans="1:7">
      <c r="A2667" s="38"/>
      <c r="B2667" s="39"/>
      <c r="C2667" s="32"/>
      <c r="D2667" s="32"/>
      <c r="G2667" s="23"/>
    </row>
    <row r="2668" spans="1:7">
      <c r="A2668" s="38"/>
      <c r="B2668" s="39"/>
      <c r="C2668" s="32"/>
      <c r="D2668" s="32"/>
      <c r="G2668" s="23"/>
    </row>
    <row r="2669" spans="1:7">
      <c r="A2669" s="38"/>
      <c r="B2669" s="39"/>
      <c r="C2669" s="32"/>
      <c r="D2669" s="32"/>
      <c r="G2669" s="23"/>
    </row>
    <row r="2670" spans="1:7">
      <c r="A2670" s="38"/>
      <c r="B2670" s="39"/>
      <c r="C2670" s="32"/>
      <c r="D2670" s="32"/>
      <c r="G2670" s="23"/>
    </row>
    <row r="2671" spans="1:7">
      <c r="A2671" s="38"/>
      <c r="B2671" s="39"/>
      <c r="C2671" s="32"/>
      <c r="D2671" s="32"/>
      <c r="G2671" s="23"/>
    </row>
    <row r="2672" spans="1:7">
      <c r="A2672" s="38"/>
      <c r="B2672" s="39"/>
      <c r="C2672" s="32"/>
      <c r="D2672" s="32"/>
      <c r="G2672" s="23"/>
    </row>
    <row r="2673" spans="1:7">
      <c r="A2673" s="38"/>
      <c r="B2673" s="39"/>
      <c r="C2673" s="32"/>
      <c r="D2673" s="32"/>
      <c r="G2673" s="23"/>
    </row>
    <row r="2674" spans="1:7">
      <c r="A2674" s="38"/>
      <c r="B2674" s="39"/>
      <c r="C2674" s="32"/>
      <c r="D2674" s="32"/>
      <c r="G2674" s="23"/>
    </row>
    <row r="2675" spans="1:7">
      <c r="A2675" s="38"/>
      <c r="B2675" s="39"/>
      <c r="C2675" s="32"/>
      <c r="D2675" s="32"/>
      <c r="G2675" s="23"/>
    </row>
    <row r="2676" spans="1:7">
      <c r="A2676" s="38"/>
      <c r="B2676" s="39"/>
      <c r="C2676" s="32"/>
      <c r="D2676" s="32"/>
      <c r="G2676" s="23"/>
    </row>
    <row r="2677" spans="1:7">
      <c r="A2677" s="38"/>
      <c r="B2677" s="39"/>
      <c r="C2677" s="32"/>
      <c r="D2677" s="32"/>
      <c r="G2677" s="23"/>
    </row>
    <row r="2678" spans="1:7">
      <c r="A2678" s="38"/>
      <c r="B2678" s="39"/>
      <c r="C2678" s="32"/>
      <c r="D2678" s="32"/>
      <c r="G2678" s="23"/>
    </row>
    <row r="2679" spans="1:7">
      <c r="A2679" s="38"/>
      <c r="B2679" s="39"/>
      <c r="C2679" s="32"/>
      <c r="D2679" s="32"/>
      <c r="G2679" s="23"/>
    </row>
    <row r="2680" spans="1:7">
      <c r="A2680" s="38"/>
      <c r="B2680" s="39"/>
      <c r="C2680" s="32"/>
      <c r="D2680" s="32"/>
      <c r="G2680" s="23"/>
    </row>
    <row r="2681" spans="1:7">
      <c r="A2681" s="38"/>
      <c r="B2681" s="39"/>
      <c r="C2681" s="32"/>
      <c r="D2681" s="32"/>
      <c r="G2681" s="23"/>
    </row>
    <row r="2682" spans="1:7">
      <c r="A2682" s="38"/>
      <c r="B2682" s="39"/>
      <c r="C2682" s="32"/>
      <c r="D2682" s="32"/>
      <c r="G2682" s="23"/>
    </row>
    <row r="2683" spans="1:7">
      <c r="A2683" s="38"/>
      <c r="B2683" s="39"/>
      <c r="C2683" s="32"/>
      <c r="D2683" s="32"/>
      <c r="G2683" s="23"/>
    </row>
    <row r="2684" spans="1:7">
      <c r="A2684" s="38"/>
      <c r="B2684" s="39"/>
      <c r="C2684" s="32"/>
      <c r="D2684" s="32"/>
      <c r="G2684" s="23"/>
    </row>
    <row r="2685" spans="1:7">
      <c r="A2685" s="38"/>
      <c r="B2685" s="39"/>
      <c r="C2685" s="32"/>
      <c r="D2685" s="32"/>
      <c r="G2685" s="23"/>
    </row>
    <row r="2686" spans="1:7">
      <c r="A2686" s="38"/>
      <c r="B2686" s="39"/>
      <c r="C2686" s="32"/>
      <c r="D2686" s="32"/>
      <c r="G2686" s="23"/>
    </row>
    <row r="2687" spans="1:7">
      <c r="A2687" s="38"/>
      <c r="B2687" s="39"/>
      <c r="C2687" s="32"/>
      <c r="D2687" s="32"/>
      <c r="G2687" s="23"/>
    </row>
    <row r="2688" spans="1:7">
      <c r="A2688" s="38"/>
      <c r="B2688" s="39"/>
      <c r="C2688" s="32"/>
      <c r="D2688" s="32"/>
      <c r="G2688" s="23"/>
    </row>
    <row r="2689" spans="1:7">
      <c r="A2689" s="38"/>
      <c r="B2689" s="39"/>
      <c r="C2689" s="32"/>
      <c r="D2689" s="32"/>
      <c r="G2689" s="23"/>
    </row>
    <row r="2690" spans="1:7">
      <c r="A2690" s="38"/>
      <c r="B2690" s="39"/>
      <c r="C2690" s="32"/>
      <c r="D2690" s="32"/>
      <c r="G2690" s="23"/>
    </row>
    <row r="2691" spans="1:7">
      <c r="A2691" s="38"/>
      <c r="B2691" s="39"/>
      <c r="C2691" s="32"/>
      <c r="D2691" s="32"/>
      <c r="G2691" s="23"/>
    </row>
    <row r="2692" spans="1:7">
      <c r="A2692" s="38"/>
      <c r="B2692" s="39"/>
      <c r="C2692" s="32"/>
      <c r="D2692" s="32"/>
      <c r="G2692" s="23"/>
    </row>
    <row r="2693" spans="1:7">
      <c r="A2693" s="38"/>
      <c r="B2693" s="39"/>
      <c r="C2693" s="32"/>
      <c r="D2693" s="32"/>
      <c r="G2693" s="23"/>
    </row>
    <row r="2694" spans="1:7">
      <c r="A2694" s="38"/>
      <c r="B2694" s="39"/>
      <c r="C2694" s="32"/>
      <c r="D2694" s="32"/>
      <c r="G2694" s="23"/>
    </row>
    <row r="2695" spans="1:7">
      <c r="A2695" s="38"/>
      <c r="B2695" s="39"/>
      <c r="C2695" s="32"/>
      <c r="D2695" s="32"/>
      <c r="G2695" s="23"/>
    </row>
    <row r="2696" spans="1:7">
      <c r="A2696" s="38"/>
      <c r="B2696" s="39"/>
      <c r="C2696" s="32"/>
      <c r="D2696" s="32"/>
      <c r="G2696" s="23"/>
    </row>
    <row r="2697" spans="1:7">
      <c r="A2697" s="38"/>
      <c r="B2697" s="39"/>
      <c r="C2697" s="32"/>
      <c r="D2697" s="32"/>
      <c r="G2697" s="23"/>
    </row>
    <row r="2698" spans="1:7">
      <c r="A2698" s="38"/>
      <c r="B2698" s="39"/>
      <c r="C2698" s="32"/>
      <c r="D2698" s="32"/>
      <c r="G2698" s="23"/>
    </row>
    <row r="2699" spans="1:7">
      <c r="A2699" s="38"/>
      <c r="B2699" s="39"/>
      <c r="C2699" s="32"/>
      <c r="D2699" s="32"/>
      <c r="G2699" s="23"/>
    </row>
    <row r="2700" spans="1:7">
      <c r="A2700" s="38"/>
      <c r="B2700" s="39"/>
      <c r="C2700" s="32"/>
      <c r="D2700" s="32"/>
      <c r="G2700" s="23"/>
    </row>
    <row r="2701" spans="1:7">
      <c r="A2701" s="38"/>
      <c r="B2701" s="39"/>
      <c r="C2701" s="32"/>
      <c r="D2701" s="32"/>
      <c r="G2701" s="23"/>
    </row>
    <row r="2702" spans="1:7">
      <c r="A2702" s="38"/>
      <c r="B2702" s="39"/>
      <c r="C2702" s="32"/>
      <c r="D2702" s="32"/>
      <c r="G2702" s="23"/>
    </row>
    <row r="2703" spans="1:7">
      <c r="A2703" s="38"/>
      <c r="B2703" s="39"/>
      <c r="C2703" s="32"/>
      <c r="D2703" s="32"/>
      <c r="G2703" s="23"/>
    </row>
    <row r="2704" spans="1:7">
      <c r="A2704" s="38"/>
      <c r="B2704" s="39"/>
      <c r="C2704" s="32"/>
      <c r="D2704" s="32"/>
      <c r="G2704" s="23"/>
    </row>
    <row r="2705" spans="1:7">
      <c r="A2705" s="38"/>
      <c r="B2705" s="39"/>
      <c r="C2705" s="32"/>
      <c r="D2705" s="32"/>
      <c r="G2705" s="23"/>
    </row>
    <row r="2706" spans="1:7">
      <c r="A2706" s="38"/>
      <c r="B2706" s="39"/>
      <c r="C2706" s="32"/>
      <c r="D2706" s="32"/>
      <c r="G2706" s="23"/>
    </row>
    <row r="2707" spans="1:7">
      <c r="A2707" s="38"/>
      <c r="B2707" s="39"/>
      <c r="C2707" s="32"/>
      <c r="D2707" s="32"/>
      <c r="G2707" s="23"/>
    </row>
    <row r="2708" spans="1:7">
      <c r="A2708" s="38"/>
      <c r="B2708" s="39"/>
      <c r="C2708" s="32"/>
      <c r="D2708" s="32"/>
      <c r="G2708" s="23"/>
    </row>
    <row r="2709" spans="1:7">
      <c r="A2709" s="38"/>
      <c r="B2709" s="39"/>
      <c r="C2709" s="32"/>
      <c r="D2709" s="32"/>
      <c r="G2709" s="23"/>
    </row>
    <row r="2710" spans="1:7">
      <c r="A2710" s="38"/>
      <c r="B2710" s="39"/>
      <c r="C2710" s="32"/>
      <c r="D2710" s="32"/>
      <c r="G2710" s="23"/>
    </row>
    <row r="2711" spans="1:7">
      <c r="A2711" s="38"/>
      <c r="B2711" s="39"/>
      <c r="C2711" s="32"/>
      <c r="D2711" s="32"/>
      <c r="G2711" s="23"/>
    </row>
    <row r="2712" spans="1:7">
      <c r="A2712" s="38"/>
      <c r="B2712" s="39"/>
      <c r="C2712" s="32"/>
      <c r="D2712" s="32"/>
      <c r="G2712" s="23"/>
    </row>
    <row r="2713" spans="1:7">
      <c r="A2713" s="38"/>
      <c r="B2713" s="39"/>
      <c r="C2713" s="32"/>
      <c r="D2713" s="32"/>
      <c r="G2713" s="23"/>
    </row>
    <row r="2714" spans="1:7">
      <c r="A2714" s="38"/>
      <c r="B2714" s="39"/>
      <c r="C2714" s="32"/>
      <c r="D2714" s="32"/>
      <c r="G2714" s="23"/>
    </row>
    <row r="2715" spans="1:7">
      <c r="A2715" s="38"/>
      <c r="B2715" s="39"/>
      <c r="C2715" s="32"/>
      <c r="D2715" s="32"/>
      <c r="G2715" s="23"/>
    </row>
    <row r="2716" spans="1:7">
      <c r="A2716" s="38"/>
      <c r="B2716" s="39"/>
      <c r="C2716" s="32"/>
      <c r="D2716" s="32"/>
      <c r="G2716" s="23"/>
    </row>
    <row r="2717" spans="1:7">
      <c r="A2717" s="38"/>
      <c r="B2717" s="39"/>
      <c r="C2717" s="32"/>
      <c r="D2717" s="32"/>
      <c r="G2717" s="23"/>
    </row>
    <row r="2718" spans="1:7">
      <c r="A2718" s="38"/>
      <c r="B2718" s="39"/>
      <c r="C2718" s="32"/>
      <c r="D2718" s="32"/>
      <c r="G2718" s="23"/>
    </row>
    <row r="2719" spans="1:7">
      <c r="A2719" s="38"/>
      <c r="B2719" s="39"/>
      <c r="C2719" s="32"/>
      <c r="D2719" s="32"/>
      <c r="G2719" s="23"/>
    </row>
    <row r="2720" spans="1:7">
      <c r="A2720" s="38"/>
      <c r="B2720" s="39"/>
      <c r="C2720" s="32"/>
      <c r="D2720" s="32"/>
      <c r="G2720" s="23"/>
    </row>
    <row r="2721" spans="1:7">
      <c r="A2721" s="38"/>
      <c r="B2721" s="39"/>
      <c r="C2721" s="32"/>
      <c r="D2721" s="32"/>
      <c r="G2721" s="23"/>
    </row>
    <row r="2722" spans="1:7">
      <c r="A2722" s="38"/>
      <c r="B2722" s="39"/>
      <c r="C2722" s="32"/>
      <c r="D2722" s="32"/>
      <c r="G2722" s="23"/>
    </row>
    <row r="2723" spans="1:7">
      <c r="A2723" s="38"/>
      <c r="B2723" s="39"/>
      <c r="C2723" s="32"/>
      <c r="D2723" s="32"/>
      <c r="G2723" s="23"/>
    </row>
    <row r="2724" spans="1:7">
      <c r="A2724" s="38"/>
      <c r="B2724" s="39"/>
      <c r="C2724" s="32"/>
      <c r="D2724" s="32"/>
      <c r="G2724" s="23"/>
    </row>
    <row r="2725" spans="1:7">
      <c r="A2725" s="38"/>
      <c r="B2725" s="39"/>
      <c r="C2725" s="32"/>
      <c r="D2725" s="32"/>
      <c r="G2725" s="23"/>
    </row>
    <row r="2726" spans="1:7">
      <c r="A2726" s="38"/>
      <c r="B2726" s="39"/>
      <c r="C2726" s="32"/>
      <c r="D2726" s="32"/>
      <c r="G2726" s="23"/>
    </row>
    <row r="2727" spans="1:7">
      <c r="A2727" s="38"/>
      <c r="B2727" s="39"/>
      <c r="C2727" s="32"/>
      <c r="D2727" s="32"/>
      <c r="G2727" s="23"/>
    </row>
    <row r="2728" spans="1:7">
      <c r="A2728" s="38"/>
      <c r="B2728" s="39"/>
      <c r="C2728" s="32"/>
      <c r="D2728" s="32"/>
      <c r="G2728" s="23"/>
    </row>
    <row r="2729" spans="1:7">
      <c r="A2729" s="38"/>
      <c r="B2729" s="39"/>
      <c r="C2729" s="32"/>
      <c r="D2729" s="32"/>
      <c r="G2729" s="23"/>
    </row>
    <row r="2730" spans="1:7">
      <c r="A2730" s="38"/>
      <c r="B2730" s="39"/>
      <c r="C2730" s="32"/>
      <c r="D2730" s="32"/>
      <c r="G2730" s="23"/>
    </row>
    <row r="2731" spans="1:7">
      <c r="A2731" s="38"/>
      <c r="B2731" s="39"/>
      <c r="C2731" s="32"/>
      <c r="D2731" s="32"/>
      <c r="G2731" s="23"/>
    </row>
    <row r="2732" spans="1:7">
      <c r="A2732" s="38"/>
      <c r="B2732" s="39"/>
      <c r="C2732" s="32"/>
      <c r="D2732" s="32"/>
      <c r="G2732" s="23"/>
    </row>
    <row r="2733" spans="1:7">
      <c r="A2733" s="38"/>
      <c r="B2733" s="39"/>
      <c r="C2733" s="32"/>
      <c r="D2733" s="32"/>
      <c r="G2733" s="23"/>
    </row>
    <row r="2734" spans="1:7">
      <c r="A2734" s="38"/>
      <c r="B2734" s="39"/>
      <c r="C2734" s="32"/>
      <c r="D2734" s="32"/>
      <c r="G2734" s="23"/>
    </row>
    <row r="2735" spans="1:7">
      <c r="A2735" s="38"/>
      <c r="B2735" s="39"/>
      <c r="C2735" s="32"/>
      <c r="D2735" s="32"/>
      <c r="G2735" s="23"/>
    </row>
    <row r="2736" spans="1:7">
      <c r="A2736" s="38"/>
      <c r="B2736" s="39"/>
      <c r="C2736" s="32"/>
      <c r="D2736" s="32"/>
      <c r="G2736" s="23"/>
    </row>
    <row r="2737" spans="1:7">
      <c r="A2737" s="38"/>
      <c r="B2737" s="39"/>
      <c r="C2737" s="32"/>
      <c r="D2737" s="32"/>
      <c r="G2737" s="23"/>
    </row>
    <row r="2738" spans="1:7">
      <c r="A2738" s="38"/>
      <c r="B2738" s="39"/>
      <c r="C2738" s="32"/>
      <c r="D2738" s="32"/>
      <c r="G2738" s="23"/>
    </row>
    <row r="2739" spans="1:7">
      <c r="A2739" s="38"/>
      <c r="B2739" s="39"/>
      <c r="C2739" s="32"/>
      <c r="D2739" s="32"/>
      <c r="G2739" s="23"/>
    </row>
    <row r="2740" spans="1:7">
      <c r="A2740" s="38"/>
      <c r="B2740" s="39"/>
      <c r="C2740" s="32"/>
      <c r="D2740" s="32"/>
      <c r="G2740" s="23"/>
    </row>
    <row r="2741" spans="1:7">
      <c r="A2741" s="38"/>
      <c r="B2741" s="39"/>
      <c r="C2741" s="32"/>
      <c r="D2741" s="32"/>
      <c r="G2741" s="23"/>
    </row>
    <row r="2742" spans="1:7">
      <c r="A2742" s="38"/>
      <c r="B2742" s="39"/>
      <c r="C2742" s="32"/>
      <c r="D2742" s="32"/>
      <c r="G2742" s="23"/>
    </row>
    <row r="2743" spans="1:7">
      <c r="A2743" s="38"/>
      <c r="B2743" s="39"/>
      <c r="C2743" s="32"/>
      <c r="D2743" s="32"/>
      <c r="G2743" s="23"/>
    </row>
    <row r="2744" spans="1:7">
      <c r="A2744" s="38"/>
      <c r="B2744" s="39"/>
      <c r="C2744" s="32"/>
      <c r="D2744" s="32"/>
      <c r="G2744" s="23"/>
    </row>
    <row r="2745" spans="1:7">
      <c r="A2745" s="38"/>
      <c r="B2745" s="39"/>
      <c r="C2745" s="32"/>
      <c r="D2745" s="32"/>
      <c r="G2745" s="23"/>
    </row>
    <row r="2746" spans="1:7">
      <c r="A2746" s="38"/>
      <c r="B2746" s="39"/>
      <c r="C2746" s="32"/>
      <c r="D2746" s="32"/>
      <c r="G2746" s="23"/>
    </row>
    <row r="2747" spans="1:7">
      <c r="A2747" s="38"/>
      <c r="B2747" s="39"/>
      <c r="C2747" s="32"/>
      <c r="D2747" s="32"/>
      <c r="G2747" s="23"/>
    </row>
    <row r="2748" spans="1:7">
      <c r="A2748" s="38"/>
      <c r="B2748" s="39"/>
      <c r="C2748" s="32"/>
      <c r="D2748" s="32"/>
      <c r="G2748" s="23"/>
    </row>
    <row r="2749" spans="1:7">
      <c r="A2749" s="38"/>
      <c r="B2749" s="39"/>
      <c r="C2749" s="32"/>
      <c r="D2749" s="32"/>
      <c r="G2749" s="23"/>
    </row>
    <row r="2750" spans="1:7">
      <c r="A2750" s="38"/>
      <c r="B2750" s="39"/>
      <c r="C2750" s="32"/>
      <c r="D2750" s="32"/>
      <c r="G2750" s="23"/>
    </row>
    <row r="2751" spans="1:7">
      <c r="A2751" s="38"/>
      <c r="B2751" s="39"/>
      <c r="C2751" s="32"/>
      <c r="D2751" s="32"/>
      <c r="G2751" s="23"/>
    </row>
    <row r="2752" spans="1:7">
      <c r="A2752" s="38"/>
      <c r="B2752" s="39"/>
      <c r="C2752" s="32"/>
      <c r="D2752" s="32"/>
      <c r="G2752" s="23"/>
    </row>
    <row r="2753" spans="1:7">
      <c r="A2753" s="38"/>
      <c r="B2753" s="39"/>
      <c r="C2753" s="32"/>
      <c r="D2753" s="32"/>
      <c r="G2753" s="23"/>
    </row>
    <row r="2754" spans="1:7">
      <c r="A2754" s="38"/>
      <c r="B2754" s="39"/>
      <c r="C2754" s="32"/>
      <c r="D2754" s="32"/>
      <c r="G2754" s="23"/>
    </row>
    <row r="2755" spans="1:7">
      <c r="A2755" s="38"/>
      <c r="B2755" s="39"/>
      <c r="C2755" s="32"/>
      <c r="D2755" s="32"/>
      <c r="G2755" s="23"/>
    </row>
    <row r="2756" spans="1:7">
      <c r="A2756" s="38"/>
      <c r="B2756" s="39"/>
      <c r="C2756" s="32"/>
      <c r="D2756" s="32"/>
      <c r="G2756" s="23"/>
    </row>
    <row r="2757" spans="1:7">
      <c r="A2757" s="38"/>
      <c r="B2757" s="39"/>
      <c r="C2757" s="32"/>
      <c r="D2757" s="32"/>
      <c r="G2757" s="23"/>
    </row>
    <row r="2758" spans="1:7">
      <c r="A2758" s="38"/>
      <c r="B2758" s="39"/>
      <c r="C2758" s="32"/>
      <c r="D2758" s="32"/>
      <c r="G2758" s="23"/>
    </row>
    <row r="2759" spans="1:7">
      <c r="A2759" s="38"/>
      <c r="B2759" s="39"/>
      <c r="C2759" s="32"/>
      <c r="D2759" s="32"/>
      <c r="G2759" s="23"/>
    </row>
    <row r="2760" spans="1:7">
      <c r="A2760" s="38"/>
      <c r="B2760" s="39"/>
      <c r="C2760" s="32"/>
      <c r="D2760" s="32"/>
      <c r="G2760" s="23"/>
    </row>
    <row r="2761" spans="1:7">
      <c r="A2761" s="38"/>
      <c r="B2761" s="39"/>
      <c r="C2761" s="32"/>
      <c r="D2761" s="32"/>
      <c r="G2761" s="23"/>
    </row>
    <row r="2762" spans="1:7">
      <c r="A2762" s="38"/>
      <c r="B2762" s="39"/>
      <c r="C2762" s="32"/>
      <c r="D2762" s="32"/>
      <c r="G2762" s="23"/>
    </row>
    <row r="2763" spans="1:7">
      <c r="A2763" s="38"/>
      <c r="B2763" s="39"/>
      <c r="C2763" s="32"/>
      <c r="D2763" s="32"/>
      <c r="G2763" s="23"/>
    </row>
    <row r="2764" spans="1:7">
      <c r="A2764" s="38"/>
      <c r="B2764" s="39"/>
      <c r="C2764" s="32"/>
      <c r="D2764" s="32"/>
      <c r="G2764" s="23"/>
    </row>
    <row r="2765" spans="1:7">
      <c r="A2765" s="38"/>
      <c r="B2765" s="39"/>
      <c r="C2765" s="32"/>
      <c r="D2765" s="32"/>
      <c r="G2765" s="23"/>
    </row>
    <row r="2766" spans="1:7">
      <c r="A2766" s="38"/>
      <c r="B2766" s="39"/>
      <c r="C2766" s="32"/>
      <c r="D2766" s="32"/>
      <c r="G2766" s="23"/>
    </row>
    <row r="2767" spans="1:7">
      <c r="A2767" s="38"/>
      <c r="B2767" s="39"/>
      <c r="C2767" s="32"/>
      <c r="D2767" s="32"/>
      <c r="G2767" s="23"/>
    </row>
    <row r="2768" spans="1:7">
      <c r="A2768" s="38"/>
      <c r="B2768" s="39"/>
      <c r="C2768" s="32"/>
      <c r="D2768" s="32"/>
      <c r="G2768" s="23"/>
    </row>
    <row r="2769" spans="1:7">
      <c r="A2769" s="38"/>
      <c r="B2769" s="39"/>
      <c r="C2769" s="32"/>
      <c r="D2769" s="32"/>
      <c r="G2769" s="23"/>
    </row>
    <row r="2770" spans="1:7">
      <c r="A2770" s="38"/>
      <c r="B2770" s="39"/>
      <c r="C2770" s="32"/>
      <c r="D2770" s="32"/>
      <c r="G2770" s="23"/>
    </row>
    <row r="2771" spans="1:7">
      <c r="A2771" s="38"/>
      <c r="B2771" s="39"/>
      <c r="C2771" s="32"/>
      <c r="D2771" s="32"/>
      <c r="G2771" s="23"/>
    </row>
    <row r="2772" spans="1:7">
      <c r="A2772" s="38"/>
      <c r="B2772" s="39"/>
      <c r="C2772" s="32"/>
      <c r="D2772" s="32"/>
      <c r="G2772" s="23"/>
    </row>
    <row r="2773" spans="1:7">
      <c r="A2773" s="38"/>
      <c r="B2773" s="39"/>
      <c r="C2773" s="32"/>
      <c r="D2773" s="32"/>
      <c r="G2773" s="23"/>
    </row>
    <row r="2774" spans="1:7">
      <c r="A2774" s="38"/>
      <c r="B2774" s="39"/>
      <c r="C2774" s="32"/>
      <c r="D2774" s="32"/>
      <c r="G2774" s="23"/>
    </row>
    <row r="2775" spans="1:7">
      <c r="A2775" s="38"/>
      <c r="B2775" s="39"/>
      <c r="C2775" s="32"/>
      <c r="D2775" s="32"/>
      <c r="G2775" s="23"/>
    </row>
    <row r="2776" spans="1:7">
      <c r="A2776" s="38"/>
      <c r="B2776" s="39"/>
      <c r="C2776" s="32"/>
      <c r="D2776" s="32"/>
      <c r="G2776" s="23"/>
    </row>
    <row r="2777" spans="1:7">
      <c r="A2777" s="38"/>
      <c r="B2777" s="39"/>
      <c r="C2777" s="32"/>
      <c r="D2777" s="32"/>
      <c r="G2777" s="23"/>
    </row>
    <row r="2778" spans="1:7">
      <c r="A2778" s="38"/>
      <c r="B2778" s="39"/>
      <c r="C2778" s="32"/>
      <c r="D2778" s="32"/>
      <c r="G2778" s="23"/>
    </row>
    <row r="2779" spans="1:7">
      <c r="A2779" s="38"/>
      <c r="B2779" s="39"/>
      <c r="C2779" s="32"/>
      <c r="D2779" s="32"/>
      <c r="G2779" s="23"/>
    </row>
    <row r="2780" spans="1:7">
      <c r="A2780" s="38"/>
      <c r="B2780" s="39"/>
      <c r="C2780" s="32"/>
      <c r="D2780" s="32"/>
      <c r="G2780" s="23"/>
    </row>
    <row r="2781" spans="1:7">
      <c r="A2781" s="38"/>
      <c r="B2781" s="39"/>
      <c r="C2781" s="32"/>
      <c r="D2781" s="32"/>
      <c r="G2781" s="23"/>
    </row>
    <row r="2782" spans="1:7">
      <c r="A2782" s="38"/>
      <c r="B2782" s="39"/>
      <c r="C2782" s="32"/>
      <c r="D2782" s="32"/>
      <c r="G2782" s="23"/>
    </row>
    <row r="2783" spans="1:7">
      <c r="A2783" s="38"/>
      <c r="B2783" s="39"/>
      <c r="C2783" s="32"/>
      <c r="D2783" s="32"/>
      <c r="G2783" s="23"/>
    </row>
    <row r="2784" spans="1:7">
      <c r="A2784" s="38"/>
      <c r="B2784" s="39"/>
      <c r="C2784" s="32"/>
      <c r="D2784" s="32"/>
      <c r="G2784" s="23"/>
    </row>
    <row r="2785" spans="1:7">
      <c r="A2785" s="38"/>
      <c r="B2785" s="39"/>
      <c r="C2785" s="32"/>
      <c r="D2785" s="32"/>
      <c r="G2785" s="23"/>
    </row>
    <row r="2786" spans="1:7">
      <c r="A2786" s="38"/>
      <c r="B2786" s="39"/>
      <c r="C2786" s="32"/>
      <c r="D2786" s="32"/>
      <c r="G2786" s="23"/>
    </row>
    <row r="2787" spans="1:7">
      <c r="A2787" s="38"/>
      <c r="B2787" s="39"/>
      <c r="C2787" s="32"/>
      <c r="D2787" s="32"/>
      <c r="G2787" s="23"/>
    </row>
    <row r="2788" spans="1:7">
      <c r="A2788" s="38"/>
      <c r="B2788" s="39"/>
      <c r="C2788" s="32"/>
      <c r="D2788" s="32"/>
      <c r="G2788" s="23"/>
    </row>
    <row r="2789" spans="1:7">
      <c r="A2789" s="38"/>
      <c r="B2789" s="39"/>
      <c r="C2789" s="32"/>
      <c r="D2789" s="32"/>
      <c r="G2789" s="23"/>
    </row>
    <row r="2790" spans="1:7">
      <c r="A2790" s="38"/>
      <c r="B2790" s="39"/>
      <c r="C2790" s="32"/>
      <c r="D2790" s="32"/>
      <c r="G2790" s="23"/>
    </row>
    <row r="2791" spans="1:7">
      <c r="A2791" s="38"/>
      <c r="B2791" s="39"/>
      <c r="C2791" s="32"/>
      <c r="D2791" s="32"/>
      <c r="G2791" s="23"/>
    </row>
    <row r="2792" spans="1:7">
      <c r="A2792" s="38"/>
      <c r="B2792" s="39"/>
      <c r="C2792" s="32"/>
      <c r="D2792" s="32"/>
      <c r="G2792" s="23"/>
    </row>
    <row r="2793" spans="1:7">
      <c r="A2793" s="38"/>
      <c r="B2793" s="39"/>
      <c r="C2793" s="32"/>
      <c r="D2793" s="32"/>
      <c r="G2793" s="23"/>
    </row>
    <row r="2794" spans="1:7">
      <c r="A2794" s="38"/>
      <c r="B2794" s="39"/>
      <c r="C2794" s="32"/>
      <c r="D2794" s="32"/>
      <c r="G2794" s="23"/>
    </row>
    <row r="2795" spans="1:7">
      <c r="A2795" s="38"/>
      <c r="B2795" s="39"/>
      <c r="C2795" s="32"/>
      <c r="D2795" s="32"/>
      <c r="G2795" s="23"/>
    </row>
    <row r="2796" spans="1:7">
      <c r="A2796" s="38"/>
      <c r="B2796" s="39"/>
      <c r="C2796" s="32"/>
      <c r="D2796" s="32"/>
      <c r="G2796" s="23"/>
    </row>
    <row r="2797" spans="1:7">
      <c r="A2797" s="38"/>
      <c r="B2797" s="39"/>
      <c r="C2797" s="32"/>
      <c r="D2797" s="32"/>
      <c r="G2797" s="23"/>
    </row>
    <row r="2798" spans="1:7">
      <c r="A2798" s="38"/>
      <c r="B2798" s="39"/>
      <c r="C2798" s="32"/>
      <c r="D2798" s="32"/>
      <c r="G2798" s="23"/>
    </row>
    <row r="2799" spans="1:7">
      <c r="A2799" s="38"/>
      <c r="B2799" s="39"/>
      <c r="C2799" s="32"/>
      <c r="D2799" s="32"/>
      <c r="G2799" s="23"/>
    </row>
    <row r="2800" spans="1:7">
      <c r="A2800" s="38"/>
      <c r="B2800" s="39"/>
      <c r="C2800" s="32"/>
      <c r="D2800" s="32"/>
      <c r="G2800" s="23"/>
    </row>
    <row r="2801" spans="1:7">
      <c r="A2801" s="38"/>
      <c r="B2801" s="39"/>
      <c r="C2801" s="32"/>
      <c r="D2801" s="32"/>
      <c r="G2801" s="23"/>
    </row>
    <row r="2802" spans="1:7">
      <c r="A2802" s="38"/>
      <c r="B2802" s="39"/>
      <c r="C2802" s="32"/>
      <c r="D2802" s="32"/>
      <c r="G2802" s="23"/>
    </row>
    <row r="2803" spans="1:7">
      <c r="A2803" s="38"/>
      <c r="B2803" s="39"/>
      <c r="C2803" s="32"/>
      <c r="D2803" s="32"/>
      <c r="G2803" s="23"/>
    </row>
    <row r="2804" spans="1:7">
      <c r="A2804" s="38"/>
      <c r="B2804" s="39"/>
      <c r="C2804" s="32"/>
      <c r="D2804" s="32"/>
      <c r="G2804" s="23"/>
    </row>
    <row r="2805" spans="1:7">
      <c r="A2805" s="38"/>
      <c r="B2805" s="39"/>
      <c r="C2805" s="32"/>
      <c r="D2805" s="32"/>
      <c r="G2805" s="23"/>
    </row>
    <row r="2806" spans="1:7">
      <c r="A2806" s="38"/>
      <c r="B2806" s="39"/>
      <c r="C2806" s="32"/>
      <c r="D2806" s="32"/>
      <c r="G2806" s="23"/>
    </row>
    <row r="2807" spans="1:7">
      <c r="A2807" s="38"/>
      <c r="B2807" s="39"/>
      <c r="C2807" s="32"/>
      <c r="D2807" s="32"/>
      <c r="G2807" s="23"/>
    </row>
    <row r="2808" spans="1:7">
      <c r="A2808" s="38"/>
      <c r="B2808" s="39"/>
      <c r="C2808" s="32"/>
      <c r="D2808" s="32"/>
      <c r="G2808" s="23"/>
    </row>
    <row r="2809" spans="1:7">
      <c r="A2809" s="38"/>
      <c r="B2809" s="39"/>
      <c r="C2809" s="32"/>
      <c r="D2809" s="32"/>
      <c r="G2809" s="23"/>
    </row>
    <row r="2810" spans="1:7">
      <c r="A2810" s="38"/>
      <c r="B2810" s="39"/>
      <c r="C2810" s="32"/>
      <c r="D2810" s="32"/>
      <c r="G2810" s="23"/>
    </row>
    <row r="2811" spans="1:7">
      <c r="A2811" s="38"/>
      <c r="B2811" s="39"/>
      <c r="C2811" s="32"/>
      <c r="D2811" s="32"/>
      <c r="G2811" s="23"/>
    </row>
    <row r="2812" spans="1:7">
      <c r="A2812" s="38"/>
      <c r="B2812" s="39"/>
      <c r="C2812" s="32"/>
      <c r="D2812" s="32"/>
      <c r="G2812" s="23"/>
    </row>
    <row r="2813" spans="1:7">
      <c r="A2813" s="38"/>
      <c r="B2813" s="39"/>
      <c r="C2813" s="32"/>
      <c r="D2813" s="32"/>
      <c r="G2813" s="23"/>
    </row>
    <row r="2814" spans="1:7">
      <c r="A2814" s="38"/>
      <c r="B2814" s="39"/>
      <c r="C2814" s="32"/>
      <c r="D2814" s="32"/>
      <c r="G2814" s="23"/>
    </row>
    <row r="2815" spans="1:7">
      <c r="A2815" s="38"/>
      <c r="B2815" s="39"/>
      <c r="C2815" s="32"/>
      <c r="D2815" s="32"/>
      <c r="G2815" s="23"/>
    </row>
    <row r="2816" spans="1:7">
      <c r="A2816" s="38"/>
      <c r="B2816" s="39"/>
      <c r="C2816" s="32"/>
      <c r="D2816" s="32"/>
      <c r="G2816" s="23"/>
    </row>
    <row r="2817" spans="1:7">
      <c r="A2817" s="38"/>
      <c r="B2817" s="39"/>
      <c r="C2817" s="32"/>
      <c r="D2817" s="32"/>
      <c r="G2817" s="23"/>
    </row>
    <row r="2818" spans="1:7">
      <c r="A2818" s="38"/>
      <c r="B2818" s="39"/>
      <c r="C2818" s="32"/>
      <c r="D2818" s="32"/>
      <c r="G2818" s="23"/>
    </row>
    <row r="2819" spans="1:7">
      <c r="A2819" s="38"/>
      <c r="B2819" s="39"/>
      <c r="C2819" s="32"/>
      <c r="D2819" s="32"/>
      <c r="G2819" s="23"/>
    </row>
    <row r="2820" spans="1:7">
      <c r="A2820" s="38"/>
      <c r="B2820" s="39"/>
      <c r="C2820" s="32"/>
      <c r="D2820" s="32"/>
      <c r="G2820" s="23"/>
    </row>
    <row r="2821" spans="1:7">
      <c r="A2821" s="38"/>
      <c r="B2821" s="39"/>
      <c r="C2821" s="32"/>
      <c r="D2821" s="32"/>
      <c r="G2821" s="23"/>
    </row>
    <row r="2822" spans="1:7">
      <c r="A2822" s="38"/>
      <c r="B2822" s="39"/>
      <c r="C2822" s="32"/>
      <c r="D2822" s="32"/>
      <c r="G2822" s="23"/>
    </row>
    <row r="2823" spans="1:7">
      <c r="A2823" s="38"/>
      <c r="B2823" s="39"/>
      <c r="C2823" s="32"/>
      <c r="D2823" s="32"/>
      <c r="G2823" s="23"/>
    </row>
    <row r="2824" spans="1:7">
      <c r="A2824" s="38"/>
      <c r="B2824" s="39"/>
      <c r="C2824" s="32"/>
      <c r="D2824" s="32"/>
      <c r="G2824" s="23"/>
    </row>
    <row r="2825" spans="1:7">
      <c r="A2825" s="38"/>
      <c r="B2825" s="39"/>
      <c r="C2825" s="32"/>
      <c r="D2825" s="32"/>
      <c r="G2825" s="23"/>
    </row>
    <row r="2826" spans="1:7">
      <c r="A2826" s="38"/>
      <c r="B2826" s="39"/>
      <c r="C2826" s="32"/>
      <c r="D2826" s="32"/>
      <c r="G2826" s="23"/>
    </row>
    <row r="2827" spans="1:7">
      <c r="A2827" s="38"/>
      <c r="B2827" s="39"/>
      <c r="C2827" s="32"/>
      <c r="D2827" s="32"/>
      <c r="G2827" s="23"/>
    </row>
    <row r="2828" spans="1:7">
      <c r="A2828" s="38"/>
      <c r="B2828" s="39"/>
      <c r="C2828" s="32"/>
      <c r="D2828" s="32"/>
      <c r="G2828" s="23"/>
    </row>
    <row r="2829" spans="1:7">
      <c r="A2829" s="38"/>
      <c r="B2829" s="39"/>
      <c r="C2829" s="32"/>
      <c r="D2829" s="32"/>
      <c r="G2829" s="23"/>
    </row>
    <row r="2830" spans="1:7">
      <c r="A2830" s="38"/>
      <c r="B2830" s="39"/>
      <c r="C2830" s="32"/>
      <c r="D2830" s="32"/>
      <c r="G2830" s="23"/>
    </row>
    <row r="2831" spans="1:7">
      <c r="A2831" s="38"/>
      <c r="B2831" s="39"/>
      <c r="C2831" s="32"/>
      <c r="D2831" s="32"/>
      <c r="G2831" s="23"/>
    </row>
    <row r="2832" spans="1:7">
      <c r="A2832" s="38"/>
      <c r="B2832" s="39"/>
      <c r="C2832" s="32"/>
      <c r="D2832" s="32"/>
      <c r="G2832" s="23"/>
    </row>
    <row r="2833" spans="1:7">
      <c r="A2833" s="38"/>
      <c r="B2833" s="39"/>
      <c r="C2833" s="32"/>
      <c r="D2833" s="32"/>
      <c r="G2833" s="23"/>
    </row>
    <row r="2834" spans="1:7">
      <c r="G2834" s="23"/>
    </row>
    <row r="2835" spans="1:7">
      <c r="G2835" s="23"/>
    </row>
    <row r="2836" spans="1:7">
      <c r="G2836" s="23"/>
    </row>
    <row r="2837" spans="1:7">
      <c r="G2837" s="23"/>
    </row>
    <row r="2838" spans="1:7">
      <c r="G2838" s="23"/>
    </row>
    <row r="2839" spans="1:7">
      <c r="G2839" s="23"/>
    </row>
    <row r="2840" spans="1:7">
      <c r="G2840" s="23"/>
    </row>
    <row r="2841" spans="1:7">
      <c r="G2841" s="23"/>
    </row>
    <row r="2842" spans="1:7">
      <c r="G2842" s="23"/>
    </row>
    <row r="2843" spans="1:7">
      <c r="G2843" s="23"/>
    </row>
    <row r="2844" spans="1:7">
      <c r="G2844" s="23"/>
    </row>
    <row r="2845" spans="1:7">
      <c r="G2845" s="23"/>
    </row>
    <row r="2846" spans="1:7">
      <c r="G2846" s="23"/>
    </row>
    <row r="2847" spans="1:7">
      <c r="G2847" s="23"/>
    </row>
    <row r="2848" spans="1:7">
      <c r="G2848" s="23"/>
    </row>
    <row r="2849" spans="7:7">
      <c r="G2849" s="23"/>
    </row>
    <row r="2850" spans="7:7">
      <c r="G2850" s="23"/>
    </row>
    <row r="2851" spans="7:7">
      <c r="G2851" s="23"/>
    </row>
    <row r="2852" spans="7:7">
      <c r="G2852" s="23"/>
    </row>
    <row r="2853" spans="7:7">
      <c r="G2853" s="23"/>
    </row>
    <row r="2854" spans="7:7">
      <c r="G2854" s="23"/>
    </row>
    <row r="2855" spans="7:7">
      <c r="G2855" s="23"/>
    </row>
    <row r="2856" spans="7:7">
      <c r="G2856" s="23"/>
    </row>
    <row r="2857" spans="7:7">
      <c r="G2857" s="23"/>
    </row>
    <row r="2858" spans="7:7">
      <c r="G2858" s="23"/>
    </row>
    <row r="2859" spans="7:7">
      <c r="G2859" s="23"/>
    </row>
    <row r="2860" spans="7:7">
      <c r="G2860" s="23"/>
    </row>
    <row r="2861" spans="7:7">
      <c r="G2861" s="23"/>
    </row>
    <row r="2862" spans="7:7">
      <c r="G2862" s="23"/>
    </row>
    <row r="2863" spans="7:7">
      <c r="G2863" s="23"/>
    </row>
    <row r="2864" spans="7:7">
      <c r="G2864" s="23"/>
    </row>
    <row r="2865" spans="7:7">
      <c r="G2865" s="23"/>
    </row>
    <row r="2866" spans="7:7">
      <c r="G2866" s="23"/>
    </row>
    <row r="2867" spans="7:7">
      <c r="G2867" s="23"/>
    </row>
    <row r="2868" spans="7:7">
      <c r="G2868" s="23"/>
    </row>
    <row r="2869" spans="7:7">
      <c r="G2869" s="23"/>
    </row>
    <row r="2870" spans="7:7">
      <c r="G2870" s="23"/>
    </row>
    <row r="2871" spans="7:7">
      <c r="G2871" s="23"/>
    </row>
    <row r="2872" spans="7:7">
      <c r="G2872" s="23"/>
    </row>
    <row r="2873" spans="7:7">
      <c r="G2873" s="23"/>
    </row>
    <row r="2874" spans="7:7">
      <c r="G2874" s="23"/>
    </row>
    <row r="2875" spans="7:7">
      <c r="G2875" s="23"/>
    </row>
    <row r="2876" spans="7:7">
      <c r="G2876" s="23"/>
    </row>
    <row r="2877" spans="7:7">
      <c r="G2877" s="23"/>
    </row>
    <row r="2878" spans="7:7">
      <c r="G2878" s="23"/>
    </row>
    <row r="2879" spans="7:7">
      <c r="G2879" s="23"/>
    </row>
    <row r="2880" spans="7:7">
      <c r="G2880" s="23"/>
    </row>
    <row r="2881" spans="7:7">
      <c r="G2881" s="23"/>
    </row>
    <row r="2882" spans="7:7">
      <c r="G2882" s="23"/>
    </row>
    <row r="2883" spans="7:7">
      <c r="G2883" s="23"/>
    </row>
    <row r="2884" spans="7:7">
      <c r="G2884" s="23"/>
    </row>
    <row r="2885" spans="7:7">
      <c r="G2885" s="23"/>
    </row>
    <row r="2886" spans="7:7">
      <c r="G2886" s="23"/>
    </row>
    <row r="2887" spans="7:7">
      <c r="G2887" s="23"/>
    </row>
    <row r="2888" spans="7:7">
      <c r="G2888" s="23"/>
    </row>
    <row r="2889" spans="7:7">
      <c r="G2889" s="23"/>
    </row>
    <row r="2890" spans="7:7">
      <c r="G2890" s="23"/>
    </row>
    <row r="2891" spans="7:7">
      <c r="G2891" s="23"/>
    </row>
    <row r="2892" spans="7:7">
      <c r="G2892" s="23"/>
    </row>
    <row r="2893" spans="7:7">
      <c r="G2893" s="23"/>
    </row>
    <row r="2894" spans="7:7">
      <c r="G2894" s="23"/>
    </row>
    <row r="2895" spans="7:7">
      <c r="G2895" s="23"/>
    </row>
    <row r="2896" spans="7:7">
      <c r="G2896" s="23"/>
    </row>
    <row r="2897" spans="7:7">
      <c r="G2897" s="23"/>
    </row>
    <row r="2898" spans="7:7">
      <c r="G2898" s="23"/>
    </row>
    <row r="2899" spans="7:7">
      <c r="G2899" s="23"/>
    </row>
    <row r="2900" spans="7:7">
      <c r="G2900" s="23"/>
    </row>
    <row r="2901" spans="7:7">
      <c r="G2901" s="23"/>
    </row>
    <row r="2902" spans="7:7">
      <c r="G2902" s="23"/>
    </row>
    <row r="2903" spans="7:7">
      <c r="G2903" s="23"/>
    </row>
    <row r="2904" spans="7:7">
      <c r="G2904" s="23"/>
    </row>
    <row r="2905" spans="7:7">
      <c r="G2905" s="23"/>
    </row>
    <row r="2906" spans="7:7">
      <c r="G2906" s="23"/>
    </row>
    <row r="2907" spans="7:7">
      <c r="G2907" s="23"/>
    </row>
    <row r="2908" spans="7:7">
      <c r="G2908" s="23"/>
    </row>
    <row r="2909" spans="7:7">
      <c r="G2909" s="23"/>
    </row>
    <row r="2910" spans="7:7">
      <c r="G2910" s="23"/>
    </row>
    <row r="2911" spans="7:7">
      <c r="G2911" s="23"/>
    </row>
    <row r="2912" spans="7:7">
      <c r="G2912" s="23"/>
    </row>
    <row r="2913" spans="7:7">
      <c r="G2913" s="23"/>
    </row>
    <row r="2914" spans="7:7">
      <c r="G2914" s="23"/>
    </row>
    <row r="2915" spans="7:7">
      <c r="G2915" s="23"/>
    </row>
    <row r="2916" spans="7:7">
      <c r="G2916" s="23"/>
    </row>
    <row r="2917" spans="7:7">
      <c r="G2917" s="23"/>
    </row>
    <row r="2918" spans="7:7">
      <c r="G2918" s="23"/>
    </row>
    <row r="2919" spans="7:7">
      <c r="G2919" s="23"/>
    </row>
    <row r="2920" spans="7:7">
      <c r="G2920" s="23"/>
    </row>
    <row r="2921" spans="7:7">
      <c r="G2921" s="23"/>
    </row>
    <row r="2922" spans="7:7">
      <c r="G2922" s="23"/>
    </row>
    <row r="2923" spans="7:7">
      <c r="G2923" s="23"/>
    </row>
    <row r="2924" spans="7:7">
      <c r="G2924" s="23"/>
    </row>
    <row r="2925" spans="7:7">
      <c r="G2925" s="23"/>
    </row>
    <row r="2926" spans="7:7">
      <c r="G2926" s="23"/>
    </row>
    <row r="2927" spans="7:7">
      <c r="G2927" s="23"/>
    </row>
    <row r="2928" spans="7:7">
      <c r="G2928" s="23"/>
    </row>
    <row r="2929" spans="7:7">
      <c r="G2929" s="23"/>
    </row>
    <row r="2930" spans="7:7">
      <c r="G2930" s="23"/>
    </row>
    <row r="2931" spans="7:7">
      <c r="G2931" s="23"/>
    </row>
    <row r="2932" spans="7:7">
      <c r="G2932" s="23"/>
    </row>
    <row r="2933" spans="7:7">
      <c r="G2933" s="23"/>
    </row>
    <row r="2934" spans="7:7">
      <c r="G2934" s="23"/>
    </row>
    <row r="2935" spans="7:7">
      <c r="G2935" s="23"/>
    </row>
    <row r="2936" spans="7:7">
      <c r="G2936" s="23"/>
    </row>
    <row r="2937" spans="7:7">
      <c r="G2937" s="23"/>
    </row>
    <row r="2938" spans="7:7">
      <c r="G2938" s="23"/>
    </row>
    <row r="2939" spans="7:7">
      <c r="G2939" s="23"/>
    </row>
    <row r="2940" spans="7:7">
      <c r="G2940" s="23"/>
    </row>
    <row r="2941" spans="7:7">
      <c r="G2941" s="23"/>
    </row>
    <row r="2942" spans="7:7">
      <c r="G2942" s="23"/>
    </row>
    <row r="2943" spans="7:7">
      <c r="G2943" s="23"/>
    </row>
    <row r="2944" spans="7:7">
      <c r="G2944" s="23"/>
    </row>
    <row r="2945" spans="7:7">
      <c r="G2945" s="23"/>
    </row>
    <row r="2946" spans="7:7">
      <c r="G2946" s="23"/>
    </row>
    <row r="2947" spans="7:7">
      <c r="G2947" s="23"/>
    </row>
    <row r="2948" spans="7:7">
      <c r="G2948" s="23"/>
    </row>
    <row r="2949" spans="7:7">
      <c r="G2949" s="23"/>
    </row>
    <row r="2950" spans="7:7">
      <c r="G2950" s="23"/>
    </row>
    <row r="2951" spans="7:7">
      <c r="G2951" s="23"/>
    </row>
    <row r="2952" spans="7:7">
      <c r="G2952" s="23"/>
    </row>
    <row r="2953" spans="7:7">
      <c r="G2953" s="23"/>
    </row>
    <row r="2954" spans="7:7">
      <c r="G2954" s="23"/>
    </row>
    <row r="2955" spans="7:7">
      <c r="G2955" s="23"/>
    </row>
    <row r="2956" spans="7:7">
      <c r="G2956" s="23"/>
    </row>
    <row r="2957" spans="7:7">
      <c r="G2957" s="23"/>
    </row>
    <row r="2958" spans="7:7">
      <c r="G2958" s="23"/>
    </row>
    <row r="2959" spans="7:7">
      <c r="G2959" s="23"/>
    </row>
    <row r="2960" spans="7:7">
      <c r="G2960" s="23"/>
    </row>
    <row r="2961" spans="7:7">
      <c r="G2961" s="23"/>
    </row>
    <row r="2962" spans="7:7">
      <c r="G2962" s="23"/>
    </row>
    <row r="2963" spans="7:7">
      <c r="G2963" s="23"/>
    </row>
    <row r="2964" spans="7:7">
      <c r="G2964" s="23"/>
    </row>
    <row r="2965" spans="7:7">
      <c r="G2965" s="23"/>
    </row>
    <row r="2966" spans="7:7">
      <c r="G2966" s="23"/>
    </row>
    <row r="2967" spans="7:7">
      <c r="G2967" s="23"/>
    </row>
    <row r="2968" spans="7:7">
      <c r="G2968" s="23"/>
    </row>
    <row r="2969" spans="7:7">
      <c r="G2969" s="23"/>
    </row>
    <row r="2970" spans="7:7">
      <c r="G2970" s="23"/>
    </row>
    <row r="2971" spans="7:7">
      <c r="G2971" s="23"/>
    </row>
    <row r="2972" spans="7:7">
      <c r="G2972" s="23"/>
    </row>
    <row r="2973" spans="7:7">
      <c r="G2973" s="23"/>
    </row>
    <row r="2974" spans="7:7">
      <c r="G2974" s="23"/>
    </row>
    <row r="2975" spans="7:7">
      <c r="G2975" s="23"/>
    </row>
    <row r="2976" spans="7:7">
      <c r="G2976" s="23"/>
    </row>
    <row r="2977" spans="7:7">
      <c r="G2977" s="23"/>
    </row>
  </sheetData>
  <sheetProtection algorithmName="SHA-512" hashValue="22Zl7UtHsdDWqZNsGsTJF1vPBMK+pNa1RklIXCadqc1puOla+JJ7i+NpPB1LVeXKTrckgUV75HJZTb8Jnt9MYg==" saltValue="Vfd2R+1h1gYKorm4BTzDJ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5F3468-5D34-46EE-8A5E-A7DEEA3C5530}">
          <x14:formula1>
            <xm:f>lists!$D$2:$D$9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4D19-CCC4-4A2C-BDE0-197A6A95FF39}">
  <sheetPr>
    <tabColor theme="7" tint="0.79998168889431442"/>
  </sheetPr>
  <dimension ref="A1:F2833"/>
  <sheetViews>
    <sheetView workbookViewId="0">
      <selection activeCell="I20" sqref="I20"/>
    </sheetView>
  </sheetViews>
  <sheetFormatPr defaultRowHeight="14.4"/>
  <cols>
    <col min="1" max="1" width="28.33203125" style="41" customWidth="1"/>
    <col min="2" max="2" width="11.5546875" style="13" bestFit="1" customWidth="1"/>
    <col min="3" max="3" width="11.5546875" style="28" customWidth="1"/>
    <col min="4" max="4" width="9.21875" style="28" bestFit="1" customWidth="1"/>
    <col min="5" max="5" width="12.33203125" style="28" bestFit="1" customWidth="1"/>
    <col min="6" max="6" width="9.21875" style="28" bestFit="1" customWidth="1"/>
    <col min="7" max="11" width="9.109375" style="13"/>
    <col min="12" max="16384" width="8.88671875" style="13"/>
  </cols>
  <sheetData>
    <row r="1" spans="1:6">
      <c r="A1" s="47" t="s">
        <v>6</v>
      </c>
      <c r="B1" s="3" t="s">
        <v>17</v>
      </c>
      <c r="C1" s="48" t="s">
        <v>117</v>
      </c>
      <c r="D1" s="48" t="s">
        <v>118</v>
      </c>
      <c r="E1" s="48" t="s">
        <v>86</v>
      </c>
      <c r="F1" s="48" t="s">
        <v>7</v>
      </c>
    </row>
    <row r="2" spans="1:6">
      <c r="A2" s="41">
        <v>44658</v>
      </c>
      <c r="B2" s="24" t="s">
        <v>25</v>
      </c>
      <c r="C2" s="28">
        <v>3.5922147423283249E-3</v>
      </c>
      <c r="D2" s="28">
        <v>7.0418073970051779E-5</v>
      </c>
      <c r="E2" s="28">
        <v>5.2001233546092451E-5</v>
      </c>
      <c r="F2" s="28">
        <v>99.996285365950158</v>
      </c>
    </row>
    <row r="3" spans="1:6">
      <c r="A3" s="41">
        <v>44658.041666666664</v>
      </c>
      <c r="B3" s="24" t="s">
        <v>25</v>
      </c>
      <c r="C3" s="28">
        <v>3.8540761684932884E-3</v>
      </c>
      <c r="D3" s="28">
        <v>6.2771768340340068E-5</v>
      </c>
      <c r="E3" s="28">
        <v>5.2291867147081962E-5</v>
      </c>
      <c r="F3" s="28">
        <v>99.996030860196015</v>
      </c>
    </row>
    <row r="4" spans="1:6">
      <c r="A4" s="41">
        <v>44658.083333333336</v>
      </c>
      <c r="B4" s="24" t="s">
        <v>25</v>
      </c>
      <c r="C4" s="28">
        <v>4.6925284368396674E-3</v>
      </c>
      <c r="D4" s="28">
        <v>7.7111322001785181E-5</v>
      </c>
      <c r="E4" s="28">
        <v>5.2381762093659912E-5</v>
      </c>
      <c r="F4" s="28">
        <v>99.995177978479049</v>
      </c>
    </row>
    <row r="5" spans="1:6">
      <c r="A5" s="41">
        <v>44658.125</v>
      </c>
      <c r="B5" s="24" t="s">
        <v>25</v>
      </c>
      <c r="C5" s="28">
        <v>7.5944426145196173E-3</v>
      </c>
      <c r="D5" s="28">
        <v>1.0915286436008149E-4</v>
      </c>
      <c r="E5" s="28">
        <v>5.2068218570962121E-5</v>
      </c>
      <c r="F5" s="28">
        <v>99.992244336302548</v>
      </c>
    </row>
    <row r="6" spans="1:6">
      <c r="A6" s="41">
        <v>44658.166666666664</v>
      </c>
      <c r="B6" s="24" t="s">
        <v>25</v>
      </c>
      <c r="C6" s="28">
        <v>7.6026550422631676E-3</v>
      </c>
      <c r="D6" s="28">
        <v>1.0568635316155091E-4</v>
      </c>
      <c r="E6" s="28">
        <v>5.1832439717611106E-5</v>
      </c>
      <c r="F6" s="28">
        <v>99.992239826164862</v>
      </c>
    </row>
    <row r="7" spans="1:6">
      <c r="A7" s="41">
        <v>44658.208333333336</v>
      </c>
      <c r="B7" s="24" t="s">
        <v>25</v>
      </c>
      <c r="C7" s="28">
        <v>3.957384151072954E-3</v>
      </c>
      <c r="D7" s="28">
        <v>1.0351873888869846E-4</v>
      </c>
      <c r="E7" s="28">
        <v>5.1204106188637202E-5</v>
      </c>
      <c r="F7" s="28">
        <v>99.99588789300384</v>
      </c>
    </row>
    <row r="8" spans="1:6">
      <c r="A8" s="41">
        <v>44658.25</v>
      </c>
      <c r="B8" s="24" t="s">
        <v>25</v>
      </c>
      <c r="C8" s="28">
        <v>2.9563867510115829E-3</v>
      </c>
      <c r="D8" s="28">
        <v>9.0001383256759371E-5</v>
      </c>
      <c r="E8" s="28">
        <v>5.1099026481033681E-5</v>
      </c>
      <c r="F8" s="28">
        <v>99.996902512839256</v>
      </c>
    </row>
    <row r="9" spans="1:6">
      <c r="A9" s="41">
        <v>44658.291666666664</v>
      </c>
      <c r="B9" s="24" t="s">
        <v>25</v>
      </c>
      <c r="C9" s="28">
        <v>2.653529509040914E-3</v>
      </c>
      <c r="D9" s="28">
        <v>8.6688435872083687E-5</v>
      </c>
      <c r="E9" s="28">
        <v>5.1197852811491467E-5</v>
      </c>
      <c r="F9" s="28">
        <v>99.997208584202269</v>
      </c>
    </row>
    <row r="10" spans="1:6">
      <c r="A10" s="41">
        <v>44658.333333333336</v>
      </c>
      <c r="B10" s="24" t="s">
        <v>25</v>
      </c>
      <c r="C10" s="28">
        <v>2.7092520570766139E-3</v>
      </c>
      <c r="D10" s="28">
        <v>8.6782221423192319E-5</v>
      </c>
      <c r="E10" s="28">
        <v>5.1261922204659672E-5</v>
      </c>
      <c r="F10" s="28">
        <v>99.997152703799301</v>
      </c>
    </row>
    <row r="11" spans="1:6">
      <c r="A11" s="41">
        <v>44658.375</v>
      </c>
      <c r="B11" s="24" t="s">
        <v>25</v>
      </c>
      <c r="C11" s="28">
        <v>3.3410132055093239E-3</v>
      </c>
      <c r="D11" s="28">
        <v>8.7353369994802498E-5</v>
      </c>
      <c r="E11" s="28">
        <v>5.1433391574982299E-5</v>
      </c>
      <c r="F11" s="28">
        <v>99.996520200032919</v>
      </c>
    </row>
    <row r="12" spans="1:6">
      <c r="A12" s="41">
        <v>44658.416666666664</v>
      </c>
      <c r="B12" s="24" t="s">
        <v>25</v>
      </c>
      <c r="C12" s="28">
        <v>3.9975872417365513E-3</v>
      </c>
      <c r="D12" s="28">
        <v>8.7511783810327403E-5</v>
      </c>
      <c r="E12" s="28">
        <v>5.132702253675527E-5</v>
      </c>
      <c r="F12" s="28">
        <v>99.995863573951922</v>
      </c>
    </row>
    <row r="13" spans="1:6">
      <c r="A13" s="41">
        <v>44658.458333333336</v>
      </c>
      <c r="B13" s="24" t="s">
        <v>25</v>
      </c>
      <c r="C13" s="28">
        <v>4.5459294905773745E-3</v>
      </c>
      <c r="D13" s="28">
        <v>8.7868332833214595E-5</v>
      </c>
      <c r="E13" s="28">
        <v>5.1140502328116198E-5</v>
      </c>
      <c r="F13" s="28">
        <v>99.995315061674262</v>
      </c>
    </row>
    <row r="14" spans="1:6">
      <c r="A14" s="41">
        <v>44658.5</v>
      </c>
      <c r="B14" s="24" t="s">
        <v>25</v>
      </c>
      <c r="C14" s="28">
        <v>2.9731114830521149E-3</v>
      </c>
      <c r="D14" s="28">
        <v>8.7905511019931685E-5</v>
      </c>
      <c r="E14" s="28">
        <v>5.1471729796551345E-5</v>
      </c>
      <c r="F14" s="28">
        <v>99.996887511276128</v>
      </c>
    </row>
    <row r="15" spans="1:6">
      <c r="A15" s="41">
        <v>44658.541666666664</v>
      </c>
      <c r="B15" s="24" t="s">
        <v>25</v>
      </c>
      <c r="C15" s="28">
        <v>1.8869602662722174E-3</v>
      </c>
      <c r="D15" s="28">
        <v>1.3018130317902718E-4</v>
      </c>
      <c r="E15" s="28">
        <v>5.1601838683117478E-5</v>
      </c>
      <c r="F15" s="28">
        <v>99.997931256591869</v>
      </c>
    </row>
    <row r="16" spans="1:6">
      <c r="A16" s="41">
        <v>44658.583333333336</v>
      </c>
      <c r="B16" s="24" t="s">
        <v>25</v>
      </c>
      <c r="C16" s="28">
        <v>1.7261513516598956E-3</v>
      </c>
      <c r="D16" s="28">
        <v>9.6769004305408631E-5</v>
      </c>
      <c r="E16" s="28">
        <v>5.1468755263033045E-5</v>
      </c>
      <c r="F16" s="28">
        <v>99.998125610888778</v>
      </c>
    </row>
    <row r="17" spans="1:6">
      <c r="A17" s="41">
        <v>44658.625</v>
      </c>
      <c r="B17" s="24" t="s">
        <v>25</v>
      </c>
      <c r="C17" s="28">
        <v>1.8499210465261718E-3</v>
      </c>
      <c r="D17" s="28">
        <v>9.599745394242748E-5</v>
      </c>
      <c r="E17" s="28">
        <v>5.1174029441674293E-5</v>
      </c>
      <c r="F17" s="28">
        <v>99.998002907470095</v>
      </c>
    </row>
    <row r="18" spans="1:6">
      <c r="A18" s="41">
        <v>44658.666666666664</v>
      </c>
      <c r="B18" s="24" t="s">
        <v>25</v>
      </c>
      <c r="C18" s="28">
        <v>2.1426578357486071E-3</v>
      </c>
      <c r="D18" s="28">
        <v>9.461355790325911E-5</v>
      </c>
      <c r="E18" s="28">
        <v>5.0860463763238015E-5</v>
      </c>
      <c r="F18" s="28">
        <v>99.997711868142588</v>
      </c>
    </row>
    <row r="19" spans="1:6">
      <c r="A19" s="41">
        <v>44658.708333333336</v>
      </c>
      <c r="B19" s="24" t="s">
        <v>25</v>
      </c>
      <c r="C19" s="28">
        <v>2.5081748608536858E-3</v>
      </c>
      <c r="D19" s="28">
        <v>9.7746796810094558E-5</v>
      </c>
      <c r="E19" s="28">
        <v>5.1148999091065405E-5</v>
      </c>
      <c r="F19" s="28">
        <v>99.997342929343247</v>
      </c>
    </row>
    <row r="20" spans="1:6">
      <c r="A20" s="41">
        <v>44658.75</v>
      </c>
      <c r="B20" s="24" t="s">
        <v>25</v>
      </c>
      <c r="C20" s="28">
        <v>2.7111316111169069E-3</v>
      </c>
      <c r="D20" s="28">
        <v>9.4447291617391773E-5</v>
      </c>
      <c r="E20" s="28">
        <v>5.1260551221176072E-5</v>
      </c>
      <c r="F20" s="28">
        <v>99.997143160546031</v>
      </c>
    </row>
    <row r="21" spans="1:6">
      <c r="A21" s="41">
        <v>44658.791666666664</v>
      </c>
      <c r="B21" s="24" t="s">
        <v>25</v>
      </c>
      <c r="C21" s="28">
        <v>3.0552733105134373E-3</v>
      </c>
      <c r="D21" s="28">
        <v>9.0103130818724588E-5</v>
      </c>
      <c r="E21" s="28">
        <v>5.1499081116924751E-5</v>
      </c>
      <c r="F21" s="28">
        <v>99.996803124477537</v>
      </c>
    </row>
    <row r="22" spans="1:6">
      <c r="A22" s="41">
        <v>44658.833333333336</v>
      </c>
      <c r="B22" s="24" t="s">
        <v>25</v>
      </c>
      <c r="C22" s="28">
        <v>3.2684900342571021E-3</v>
      </c>
      <c r="D22" s="28">
        <v>8.9164736397346844E-5</v>
      </c>
      <c r="E22" s="28">
        <v>5.2147218571925147E-5</v>
      </c>
      <c r="F22" s="28">
        <v>99.996590198010765</v>
      </c>
    </row>
    <row r="23" spans="1:6">
      <c r="A23" s="41">
        <v>44658.875</v>
      </c>
      <c r="B23" s="24" t="s">
        <v>25</v>
      </c>
      <c r="C23" s="28">
        <v>3.3071060087281326E-3</v>
      </c>
      <c r="D23" s="28">
        <v>8.9251224002657016E-5</v>
      </c>
      <c r="E23" s="28">
        <v>5.325450521699224E-5</v>
      </c>
      <c r="F23" s="28">
        <v>99.996550388262051</v>
      </c>
    </row>
    <row r="24" spans="1:6">
      <c r="A24" s="41">
        <v>44658.916666666664</v>
      </c>
      <c r="B24" s="24" t="s">
        <v>25</v>
      </c>
      <c r="C24" s="28">
        <v>4.0323504393530241E-3</v>
      </c>
      <c r="D24" s="28">
        <v>8.7316077337782976E-5</v>
      </c>
      <c r="E24" s="28">
        <v>5.3721356681716358E-5</v>
      </c>
      <c r="F24" s="28">
        <v>99.995826612126621</v>
      </c>
    </row>
    <row r="25" spans="1:6">
      <c r="A25" s="41">
        <v>44658.958333333336</v>
      </c>
      <c r="B25" s="24" t="s">
        <v>25</v>
      </c>
      <c r="C25" s="28">
        <v>4.6517300298148908E-3</v>
      </c>
      <c r="D25" s="28">
        <v>8.311942663052312E-5</v>
      </c>
      <c r="E25" s="28">
        <v>5.2062225768585878E-5</v>
      </c>
      <c r="F25" s="28">
        <v>99.995213088317797</v>
      </c>
    </row>
    <row r="26" spans="1:6">
      <c r="A26" s="41">
        <v>44659</v>
      </c>
      <c r="B26" s="24" t="s">
        <v>25</v>
      </c>
      <c r="C26" s="28">
        <v>5.8669155965145429E-3</v>
      </c>
      <c r="D26" s="28">
        <v>8.7103325726497298E-5</v>
      </c>
      <c r="E26" s="28">
        <v>5.1667540879967617E-5</v>
      </c>
      <c r="F26" s="28">
        <v>99.993994313536874</v>
      </c>
    </row>
    <row r="27" spans="1:6">
      <c r="A27" s="41">
        <v>44659.041666666664</v>
      </c>
      <c r="B27" s="24" t="s">
        <v>25</v>
      </c>
      <c r="C27" s="28">
        <v>4.6690454955952082E-3</v>
      </c>
      <c r="D27" s="28">
        <v>8.6779259855146858E-5</v>
      </c>
      <c r="E27" s="28">
        <v>5.1423200502177306E-5</v>
      </c>
      <c r="F27" s="28">
        <v>99.995192752044048</v>
      </c>
    </row>
    <row r="28" spans="1:6">
      <c r="A28" s="41">
        <v>44659.083333333336</v>
      </c>
      <c r="B28" s="24" t="s">
        <v>25</v>
      </c>
      <c r="C28" s="28">
        <v>3.7877137335910593E-3</v>
      </c>
      <c r="D28" s="28">
        <v>8.4769695351243424E-5</v>
      </c>
      <c r="E28" s="28">
        <v>5.1277483426874456E-5</v>
      </c>
      <c r="F28" s="28">
        <v>99.996076239087628</v>
      </c>
    </row>
    <row r="29" spans="1:6">
      <c r="A29" s="41">
        <v>44659.125</v>
      </c>
      <c r="B29" s="24" t="s">
        <v>25</v>
      </c>
      <c r="C29" s="28">
        <v>3.7123010819591754E-3</v>
      </c>
      <c r="D29" s="28">
        <v>8.5320076342638079E-5</v>
      </c>
      <c r="E29" s="28">
        <v>5.1156867094692274E-5</v>
      </c>
      <c r="F29" s="28">
        <v>99.9961512219746</v>
      </c>
    </row>
    <row r="30" spans="1:6">
      <c r="A30" s="41">
        <v>44659.166666666664</v>
      </c>
      <c r="B30" s="24" t="s">
        <v>25</v>
      </c>
      <c r="C30" s="28">
        <v>4.0175035649281637E-3</v>
      </c>
      <c r="D30" s="28">
        <v>8.7302674741346508E-5</v>
      </c>
      <c r="E30" s="28">
        <v>5.1137916251568041E-5</v>
      </c>
      <c r="F30" s="28">
        <v>99.995844055844074</v>
      </c>
    </row>
    <row r="31" spans="1:6">
      <c r="A31" s="41">
        <v>44659.208333333336</v>
      </c>
      <c r="B31" s="24" t="s">
        <v>25</v>
      </c>
      <c r="C31" s="28">
        <v>3.6640493015965537E-3</v>
      </c>
      <c r="D31" s="28">
        <v>9.2163447216764196E-5</v>
      </c>
      <c r="E31" s="28">
        <v>5.1303871404023178E-5</v>
      </c>
      <c r="F31" s="28">
        <v>99.996192483379772</v>
      </c>
    </row>
    <row r="32" spans="1:6">
      <c r="A32" s="41">
        <v>44659.25</v>
      </c>
      <c r="B32" s="24" t="s">
        <v>25</v>
      </c>
      <c r="C32" s="28">
        <v>3.0978356874282981E-3</v>
      </c>
      <c r="D32" s="28">
        <v>8.5064868386835094E-5</v>
      </c>
      <c r="E32" s="28">
        <v>5.141325875521012E-5</v>
      </c>
      <c r="F32" s="28">
        <v>99.996765686185441</v>
      </c>
    </row>
    <row r="33" spans="1:6">
      <c r="A33" s="41">
        <v>44659.291666666664</v>
      </c>
      <c r="B33" s="24" t="s">
        <v>25</v>
      </c>
      <c r="C33" s="28">
        <v>3.5002728105085596E-3</v>
      </c>
      <c r="D33" s="28">
        <v>8.5726856390469755E-5</v>
      </c>
      <c r="E33" s="28">
        <v>5.141300031692451E-5</v>
      </c>
      <c r="F33" s="28">
        <v>99.996362587332783</v>
      </c>
    </row>
    <row r="34" spans="1:6">
      <c r="A34" s="41">
        <v>44659.333333333336</v>
      </c>
      <c r="B34" s="24" t="s">
        <v>25</v>
      </c>
      <c r="C34" s="28">
        <v>4.1728045870129578E-3</v>
      </c>
      <c r="D34" s="28">
        <v>8.57512887021074E-5</v>
      </c>
      <c r="E34" s="28">
        <v>5.1317261051300304E-5</v>
      </c>
      <c r="F34" s="28">
        <v>99.995690126863238</v>
      </c>
    </row>
    <row r="35" spans="1:6">
      <c r="A35" s="41">
        <v>44659.375</v>
      </c>
      <c r="B35" s="24" t="s">
        <v>25</v>
      </c>
      <c r="C35" s="28">
        <v>3.6718541440478075E-3</v>
      </c>
      <c r="D35" s="28">
        <v>8.1589466951458302E-5</v>
      </c>
      <c r="E35" s="28">
        <v>5.1318315672795032E-5</v>
      </c>
      <c r="F35" s="28">
        <v>99.996195238073327</v>
      </c>
    </row>
    <row r="36" spans="1:6">
      <c r="A36" s="41">
        <v>44659.416666666664</v>
      </c>
      <c r="B36" s="24" t="s">
        <v>25</v>
      </c>
      <c r="C36" s="28">
        <v>2.6444696538668617E-3</v>
      </c>
      <c r="D36" s="28">
        <v>7.5061149055141702E-5</v>
      </c>
      <c r="E36" s="28">
        <v>5.125154999649312E-5</v>
      </c>
      <c r="F36" s="28">
        <v>99.997229217647089</v>
      </c>
    </row>
    <row r="37" spans="1:6">
      <c r="A37" s="41">
        <v>44659.458333333336</v>
      </c>
      <c r="B37" s="24" t="s">
        <v>25</v>
      </c>
      <c r="C37" s="28">
        <v>2.5402879432554638E-3</v>
      </c>
      <c r="D37" s="28">
        <v>7.5834129825432556E-5</v>
      </c>
      <c r="E37" s="28">
        <v>5.1158747745733306E-5</v>
      </c>
      <c r="F37" s="28">
        <v>99.997332719179184</v>
      </c>
    </row>
    <row r="38" spans="1:6">
      <c r="A38" s="41">
        <v>44659.5</v>
      </c>
      <c r="B38" s="24" t="s">
        <v>25</v>
      </c>
      <c r="C38" s="28">
        <v>3.1653304961954576E-3</v>
      </c>
      <c r="D38" s="28">
        <v>7.6296582288500731E-5</v>
      </c>
      <c r="E38" s="28">
        <v>5.1192631102895211E-5</v>
      </c>
      <c r="F38" s="28">
        <v>99.996707180290429</v>
      </c>
    </row>
    <row r="39" spans="1:6">
      <c r="A39" s="41">
        <v>44659.541666666664</v>
      </c>
      <c r="B39" s="24" t="s">
        <v>25</v>
      </c>
      <c r="C39" s="28">
        <v>2.940337015393871E-3</v>
      </c>
      <c r="D39" s="28">
        <v>7.5553757903358928E-5</v>
      </c>
      <c r="E39" s="28">
        <v>5.1082467743600969E-5</v>
      </c>
      <c r="F39" s="28">
        <v>99.996933026758967</v>
      </c>
    </row>
    <row r="40" spans="1:6">
      <c r="A40" s="41">
        <v>44659.583333333336</v>
      </c>
      <c r="B40" s="24" t="s">
        <v>25</v>
      </c>
      <c r="C40" s="28">
        <v>1.712578274185165E-3</v>
      </c>
      <c r="D40" s="28">
        <v>7.4380890647068266E-5</v>
      </c>
      <c r="E40" s="28">
        <v>5.1026797512921983E-5</v>
      </c>
      <c r="F40" s="28">
        <v>99.998162014037661</v>
      </c>
    </row>
    <row r="41" spans="1:6">
      <c r="A41" s="41">
        <v>44659.625</v>
      </c>
      <c r="B41" s="24" t="s">
        <v>25</v>
      </c>
      <c r="C41" s="28">
        <v>1.9774476120530938E-3</v>
      </c>
      <c r="D41" s="28">
        <v>8.2017497301483072E-5</v>
      </c>
      <c r="E41" s="28">
        <v>5.0977670325127704E-5</v>
      </c>
      <c r="F41" s="28">
        <v>99.997889557220304</v>
      </c>
    </row>
    <row r="42" spans="1:6">
      <c r="A42" s="41">
        <v>44659.666666666664</v>
      </c>
      <c r="B42" s="24" t="s">
        <v>25</v>
      </c>
      <c r="C42" s="28">
        <v>3.3571733139121625E-3</v>
      </c>
      <c r="D42" s="28">
        <v>8.3317486158196764E-5</v>
      </c>
      <c r="E42" s="28">
        <v>5.0948660678182133E-5</v>
      </c>
      <c r="F42" s="28">
        <v>99.996508560539255</v>
      </c>
    </row>
    <row r="43" spans="1:6">
      <c r="A43" s="41">
        <v>44659.708333333336</v>
      </c>
      <c r="B43" s="24" t="s">
        <v>25</v>
      </c>
      <c r="C43" s="28">
        <v>3.3802411718312757E-3</v>
      </c>
      <c r="D43" s="28">
        <v>7.9503793648163574E-5</v>
      </c>
      <c r="E43" s="28">
        <v>5.1126723466080993E-5</v>
      </c>
      <c r="F43" s="28">
        <v>99.996489128311055</v>
      </c>
    </row>
    <row r="44" spans="1:6">
      <c r="A44" s="41">
        <v>44659.75</v>
      </c>
      <c r="B44" s="24" t="s">
        <v>25</v>
      </c>
      <c r="C44" s="28">
        <v>2.6736792083514416E-3</v>
      </c>
      <c r="D44" s="28">
        <v>8.4879763281139463E-5</v>
      </c>
      <c r="E44" s="28">
        <v>5.1270217390070398E-5</v>
      </c>
      <c r="F44" s="28">
        <v>99.997190170810967</v>
      </c>
    </row>
    <row r="45" spans="1:6">
      <c r="A45" s="41">
        <v>44659.791666666664</v>
      </c>
      <c r="B45" s="24" t="s">
        <v>25</v>
      </c>
      <c r="C45" s="28">
        <v>2.0378129977529761E-3</v>
      </c>
      <c r="D45" s="28">
        <v>7.0836391024163973E-5</v>
      </c>
      <c r="E45" s="28">
        <v>5.1298915960972837E-5</v>
      </c>
      <c r="F45" s="28">
        <v>99.997840051695263</v>
      </c>
    </row>
    <row r="46" spans="1:6">
      <c r="A46" s="41">
        <v>44659.833333333336</v>
      </c>
      <c r="B46" s="24" t="s">
        <v>25</v>
      </c>
      <c r="C46" s="28">
        <v>1.7645531987728715E-3</v>
      </c>
      <c r="D46" s="28">
        <v>6.2094579688980973E-5</v>
      </c>
      <c r="E46" s="28">
        <v>5.1450764518111311E-5</v>
      </c>
      <c r="F46" s="28">
        <v>99.998121901457026</v>
      </c>
    </row>
    <row r="47" spans="1:6">
      <c r="A47" s="41">
        <v>44659.875</v>
      </c>
      <c r="B47" s="24" t="s">
        <v>25</v>
      </c>
      <c r="C47" s="28">
        <v>1.7909591658458847E-3</v>
      </c>
      <c r="D47" s="28">
        <v>6.263507759247506E-5</v>
      </c>
      <c r="E47" s="28">
        <v>5.1689850569672088E-5</v>
      </c>
      <c r="F47" s="28">
        <v>99.998094715905992</v>
      </c>
    </row>
    <row r="48" spans="1:6">
      <c r="A48" s="41">
        <v>44659.916666666664</v>
      </c>
      <c r="B48" s="24" t="s">
        <v>25</v>
      </c>
      <c r="C48" s="28">
        <v>1.9934800826231047E-3</v>
      </c>
      <c r="D48" s="28">
        <v>6.3498372139135419E-5</v>
      </c>
      <c r="E48" s="28">
        <v>5.2089872892749336E-5</v>
      </c>
      <c r="F48" s="28">
        <v>99.997890931672345</v>
      </c>
    </row>
    <row r="49" spans="1:6">
      <c r="A49" s="41">
        <v>44659.958333333336</v>
      </c>
      <c r="B49" s="24" t="s">
        <v>25</v>
      </c>
      <c r="C49" s="28">
        <v>2.122910227736783E-3</v>
      </c>
      <c r="D49" s="28">
        <v>6.289195242450064E-5</v>
      </c>
      <c r="E49" s="28">
        <v>5.1945089211917542E-5</v>
      </c>
      <c r="F49" s="28">
        <v>99.997762252730624</v>
      </c>
    </row>
    <row r="50" spans="1:6">
      <c r="A50" s="41">
        <v>44660</v>
      </c>
      <c r="B50" s="24" t="s">
        <v>25</v>
      </c>
      <c r="C50" s="28">
        <v>1.9466815678653496E-3</v>
      </c>
      <c r="D50" s="28">
        <v>6.2358046079813645E-5</v>
      </c>
      <c r="E50" s="28">
        <v>5.2402153576778462E-5</v>
      </c>
      <c r="F50" s="28">
        <v>99.997938558232477</v>
      </c>
    </row>
    <row r="51" spans="1:6">
      <c r="A51" s="41">
        <v>44660.041666666664</v>
      </c>
      <c r="B51" s="24" t="s">
        <v>25</v>
      </c>
      <c r="C51" s="28">
        <v>1.8954587453933014E-3</v>
      </c>
      <c r="D51" s="28">
        <v>6.084181739171676E-5</v>
      </c>
      <c r="E51" s="28">
        <v>5.2506380386028247E-5</v>
      </c>
      <c r="F51" s="28">
        <v>99.997991193056819</v>
      </c>
    </row>
    <row r="52" spans="1:6">
      <c r="A52" s="41">
        <v>44660.083333333336</v>
      </c>
      <c r="B52" s="24" t="s">
        <v>25</v>
      </c>
      <c r="C52" s="28">
        <v>1.9603400775625199E-3</v>
      </c>
      <c r="D52" s="28">
        <v>5.8032516752375837E-5</v>
      </c>
      <c r="E52" s="28">
        <v>5.2507266616530337E-5</v>
      </c>
      <c r="F52" s="28">
        <v>99.997929120139077</v>
      </c>
    </row>
    <row r="53" spans="1:6">
      <c r="A53" s="41">
        <v>44660.125</v>
      </c>
      <c r="B53" s="24" t="s">
        <v>25</v>
      </c>
      <c r="C53" s="28">
        <v>1.7371030747248084E-3</v>
      </c>
      <c r="D53" s="28">
        <v>5.7080281330030014E-5</v>
      </c>
      <c r="E53" s="28">
        <v>5.2464226144815477E-5</v>
      </c>
      <c r="F53" s="28">
        <v>99.998153352417802</v>
      </c>
    </row>
    <row r="54" spans="1:6">
      <c r="A54" s="41">
        <v>44660.166666666664</v>
      </c>
      <c r="B54" s="24" t="s">
        <v>25</v>
      </c>
      <c r="C54" s="28">
        <v>1.5290450982529259E-3</v>
      </c>
      <c r="D54" s="28">
        <v>5.577151628782497E-5</v>
      </c>
      <c r="E54" s="28">
        <v>5.2385107405484775E-5</v>
      </c>
      <c r="F54" s="28">
        <v>99.998362798278066</v>
      </c>
    </row>
    <row r="55" spans="1:6">
      <c r="A55" s="41">
        <v>44660.208333333336</v>
      </c>
      <c r="B55" s="24" t="s">
        <v>25</v>
      </c>
      <c r="C55" s="28">
        <v>1.5606026962908196E-3</v>
      </c>
      <c r="D55" s="28">
        <v>5.6367565206299309E-5</v>
      </c>
      <c r="E55" s="28">
        <v>5.2158374616987039E-5</v>
      </c>
      <c r="F55" s="28">
        <v>99.998330871363876</v>
      </c>
    </row>
    <row r="56" spans="1:6">
      <c r="A56" s="41">
        <v>44660.25</v>
      </c>
      <c r="B56" s="24" t="s">
        <v>25</v>
      </c>
      <c r="C56" s="28">
        <v>1.5889865642084008E-3</v>
      </c>
      <c r="D56" s="28">
        <v>5.6020589212843713E-5</v>
      </c>
      <c r="E56" s="28">
        <v>5.2229855613803885E-5</v>
      </c>
      <c r="F56" s="28">
        <v>99.99830276299096</v>
      </c>
    </row>
    <row r="57" spans="1:6">
      <c r="A57" s="41">
        <v>44660.291666666664</v>
      </c>
      <c r="B57" s="24" t="s">
        <v>25</v>
      </c>
      <c r="C57" s="28">
        <v>1.6310441999125202E-3</v>
      </c>
      <c r="D57" s="28">
        <v>5.7093581318771037E-5</v>
      </c>
      <c r="E57" s="28">
        <v>5.2305613084238394E-5</v>
      </c>
      <c r="F57" s="28">
        <v>99.998259556605689</v>
      </c>
    </row>
    <row r="58" spans="1:6">
      <c r="A58" s="41">
        <v>44660.333333333336</v>
      </c>
      <c r="B58" s="24" t="s">
        <v>25</v>
      </c>
      <c r="C58" s="28">
        <v>1.7990276339211631E-3</v>
      </c>
      <c r="D58" s="28">
        <v>5.7617469591600537E-5</v>
      </c>
      <c r="E58" s="28">
        <v>5.2414874055880879E-5</v>
      </c>
      <c r="F58" s="28">
        <v>99.998090940022436</v>
      </c>
    </row>
    <row r="59" spans="1:6">
      <c r="A59" s="41">
        <v>44660.375</v>
      </c>
      <c r="B59" s="24" t="s">
        <v>25</v>
      </c>
      <c r="C59" s="28">
        <v>1.9682635419588715E-3</v>
      </c>
      <c r="D59" s="28">
        <v>5.9847203864324698E-5</v>
      </c>
      <c r="E59" s="28">
        <v>5.2620071897029923E-5</v>
      </c>
      <c r="F59" s="28">
        <v>99.997919269182276</v>
      </c>
    </row>
    <row r="60" spans="1:6">
      <c r="A60" s="41">
        <v>44660.416666666664</v>
      </c>
      <c r="B60" s="24" t="s">
        <v>25</v>
      </c>
      <c r="C60" s="28">
        <v>2.0643083880496462E-3</v>
      </c>
      <c r="D60" s="28">
        <v>6.8178009022090336E-5</v>
      </c>
      <c r="E60" s="28">
        <v>5.2787526375807661E-5</v>
      </c>
      <c r="F60" s="28">
        <v>99.997814726076555</v>
      </c>
    </row>
    <row r="61" spans="1:6">
      <c r="A61" s="41">
        <v>44660.458333333336</v>
      </c>
      <c r="B61" s="24" t="s">
        <v>25</v>
      </c>
      <c r="C61" s="28">
        <v>2.1945322789298457E-3</v>
      </c>
      <c r="D61" s="28">
        <v>7.3851585532617504E-5</v>
      </c>
      <c r="E61" s="28">
        <v>5.2225288640763806E-5</v>
      </c>
      <c r="F61" s="28">
        <v>99.997679390846898</v>
      </c>
    </row>
    <row r="62" spans="1:6">
      <c r="A62" s="41">
        <v>44660.5</v>
      </c>
      <c r="B62" s="24" t="s">
        <v>25</v>
      </c>
      <c r="C62" s="28">
        <v>2.5503014704081912E-3</v>
      </c>
      <c r="D62" s="28">
        <v>7.5524401061746033E-5</v>
      </c>
      <c r="E62" s="28">
        <v>5.2134853077123467E-5</v>
      </c>
      <c r="F62" s="28">
        <v>99.997322039275446</v>
      </c>
    </row>
    <row r="63" spans="1:6">
      <c r="A63" s="41">
        <v>44660.541666666664</v>
      </c>
      <c r="B63" s="24" t="s">
        <v>25</v>
      </c>
      <c r="C63" s="28">
        <v>2.7453475798653489E-3</v>
      </c>
      <c r="D63" s="28">
        <v>7.6282362526793808E-5</v>
      </c>
      <c r="E63" s="28">
        <v>5.2094840509341163E-5</v>
      </c>
      <c r="F63" s="28">
        <v>99.997126275217099</v>
      </c>
    </row>
    <row r="64" spans="1:6">
      <c r="A64" s="41">
        <v>44660.583333333336</v>
      </c>
      <c r="B64" s="24" t="s">
        <v>25</v>
      </c>
      <c r="C64" s="28">
        <v>2.9665003277208413E-3</v>
      </c>
      <c r="D64" s="28">
        <v>7.4762582083171052E-5</v>
      </c>
      <c r="E64" s="28">
        <v>5.2563963753598219E-5</v>
      </c>
      <c r="F64" s="28">
        <v>99.996906173126447</v>
      </c>
    </row>
    <row r="65" spans="1:6">
      <c r="A65" s="41">
        <v>44660.625</v>
      </c>
      <c r="B65" s="24" t="s">
        <v>25</v>
      </c>
      <c r="C65" s="28">
        <v>3.2877574006372834E-3</v>
      </c>
      <c r="D65" s="28">
        <v>7.4065789884740165E-5</v>
      </c>
      <c r="E65" s="28">
        <v>5.3356089053628121E-5</v>
      </c>
      <c r="F65" s="28">
        <v>99.996584820720415</v>
      </c>
    </row>
    <row r="66" spans="1:6">
      <c r="A66" s="41">
        <v>44660.666666666664</v>
      </c>
      <c r="B66" s="24" t="s">
        <v>25</v>
      </c>
      <c r="C66" s="28">
        <v>3.5768427883512851E-3</v>
      </c>
      <c r="D66" s="28">
        <v>7.586685696073826E-5</v>
      </c>
      <c r="E66" s="28">
        <v>5.3152054941719382E-5</v>
      </c>
      <c r="F66" s="28">
        <v>99.996294138299731</v>
      </c>
    </row>
    <row r="67" spans="1:6">
      <c r="A67" s="41">
        <v>44660.708333333336</v>
      </c>
      <c r="B67" s="24" t="s">
        <v>25</v>
      </c>
      <c r="C67" s="28">
        <v>3.9087578085639256E-3</v>
      </c>
      <c r="D67" s="28">
        <v>7.7666478939966121E-5</v>
      </c>
      <c r="E67" s="28">
        <v>5.308790062884589E-5</v>
      </c>
      <c r="F67" s="28">
        <v>99.995960487811857</v>
      </c>
    </row>
    <row r="68" spans="1:6">
      <c r="A68" s="41">
        <v>44660.75</v>
      </c>
      <c r="B68" s="24" t="s">
        <v>25</v>
      </c>
      <c r="C68" s="28">
        <v>4.1161526978172828E-3</v>
      </c>
      <c r="D68" s="28">
        <v>8.2120232531615497E-5</v>
      </c>
      <c r="E68" s="28">
        <v>5.3515967547835544E-5</v>
      </c>
      <c r="F68" s="28">
        <v>99.995748211102097</v>
      </c>
    </row>
    <row r="69" spans="1:6">
      <c r="A69" s="41">
        <v>44660.791666666664</v>
      </c>
      <c r="B69" s="24" t="s">
        <v>25</v>
      </c>
      <c r="C69" s="28">
        <v>5.1384150292640412E-3</v>
      </c>
      <c r="D69" s="28">
        <v>8.3131689223300489E-5</v>
      </c>
      <c r="E69" s="28">
        <v>5.3721207733627496E-5</v>
      </c>
      <c r="F69" s="28">
        <v>99.994724732073777</v>
      </c>
    </row>
    <row r="70" spans="1:6">
      <c r="A70" s="41">
        <v>44660.833333333336</v>
      </c>
      <c r="B70" s="24" t="s">
        <v>25</v>
      </c>
      <c r="C70" s="28">
        <v>4.8980984964207032E-3</v>
      </c>
      <c r="D70" s="28">
        <v>8.1021784254153219E-5</v>
      </c>
      <c r="E70" s="28">
        <v>5.4222184816962472E-5</v>
      </c>
      <c r="F70" s="28">
        <v>99.994966657534505</v>
      </c>
    </row>
    <row r="71" spans="1:6">
      <c r="A71" s="41">
        <v>44660.875</v>
      </c>
      <c r="B71" s="24" t="s">
        <v>25</v>
      </c>
      <c r="C71" s="28">
        <v>4.2888122931310927E-3</v>
      </c>
      <c r="D71" s="28">
        <v>7.7379992875444058E-5</v>
      </c>
      <c r="E71" s="28">
        <v>5.434958755866698E-5</v>
      </c>
      <c r="F71" s="28">
        <v>99.995579458126429</v>
      </c>
    </row>
    <row r="72" spans="1:6">
      <c r="A72" s="41">
        <v>44660.916666666664</v>
      </c>
      <c r="B72" s="24" t="s">
        <v>25</v>
      </c>
      <c r="C72" s="28">
        <v>4.6011140241253214E-3</v>
      </c>
      <c r="D72" s="28">
        <v>7.6671737656147521E-5</v>
      </c>
      <c r="E72" s="28">
        <v>5.4145791006421697E-5</v>
      </c>
      <c r="F72" s="28">
        <v>99.995268068447203</v>
      </c>
    </row>
    <row r="73" spans="1:6">
      <c r="A73" s="41">
        <v>44660.958333333336</v>
      </c>
      <c r="B73" s="24" t="s">
        <v>25</v>
      </c>
      <c r="C73" s="28">
        <v>5.3175952086836993E-3</v>
      </c>
      <c r="D73" s="28">
        <v>7.7231071321403325E-5</v>
      </c>
      <c r="E73" s="28">
        <v>5.3141023420122299E-5</v>
      </c>
      <c r="F73" s="28">
        <v>99.994552032696589</v>
      </c>
    </row>
    <row r="74" spans="1:6">
      <c r="A74" s="41">
        <v>44661</v>
      </c>
      <c r="B74" s="24" t="s">
        <v>25</v>
      </c>
      <c r="C74" s="28">
        <v>6.085003735852682E-3</v>
      </c>
      <c r="D74" s="28">
        <v>7.9402847089952161E-5</v>
      </c>
      <c r="E74" s="28">
        <v>5.2607668954159745E-5</v>
      </c>
      <c r="F74" s="28">
        <v>99.993782985748098</v>
      </c>
    </row>
    <row r="75" spans="1:6">
      <c r="A75" s="41">
        <v>44661.041666666664</v>
      </c>
      <c r="B75" s="24" t="s">
        <v>25</v>
      </c>
      <c r="C75" s="28">
        <v>5.5012429164631562E-3</v>
      </c>
      <c r="D75" s="28">
        <v>7.9886870888278472E-5</v>
      </c>
      <c r="E75" s="28">
        <v>5.2662236862308398E-5</v>
      </c>
      <c r="F75" s="28">
        <v>99.994366207975787</v>
      </c>
    </row>
    <row r="76" spans="1:6">
      <c r="A76" s="41">
        <v>44661.083333333336</v>
      </c>
      <c r="B76" s="24" t="s">
        <v>25</v>
      </c>
      <c r="C76" s="28">
        <v>4.8737350899494035E-3</v>
      </c>
      <c r="D76" s="28">
        <v>7.3169438348426029E-5</v>
      </c>
      <c r="E76" s="28">
        <v>5.2497500900504474E-5</v>
      </c>
      <c r="F76" s="28">
        <v>99.995000597970801</v>
      </c>
    </row>
    <row r="77" spans="1:6">
      <c r="A77" s="41">
        <v>44661.125</v>
      </c>
      <c r="B77" s="24" t="s">
        <v>25</v>
      </c>
      <c r="C77" s="28">
        <v>4.3167744502281506E-3</v>
      </c>
      <c r="D77" s="28">
        <v>7.2601776055973707E-5</v>
      </c>
      <c r="E77" s="28">
        <v>5.2521701413479043E-5</v>
      </c>
      <c r="F77" s="28">
        <v>99.995558102072295</v>
      </c>
    </row>
    <row r="78" spans="1:6">
      <c r="A78" s="41">
        <v>44661.166666666664</v>
      </c>
      <c r="B78" s="24" t="s">
        <v>25</v>
      </c>
      <c r="C78" s="28">
        <v>4.3027441780390139E-3</v>
      </c>
      <c r="D78" s="28">
        <v>7.3449972386125796E-5</v>
      </c>
      <c r="E78" s="28">
        <v>5.2561270971660556E-5</v>
      </c>
      <c r="F78" s="28">
        <v>99.995571244578613</v>
      </c>
    </row>
    <row r="79" spans="1:6">
      <c r="A79" s="41">
        <v>44661.208333333336</v>
      </c>
      <c r="B79" s="24" t="s">
        <v>25</v>
      </c>
      <c r="C79" s="28">
        <v>4.6177506320813737E-3</v>
      </c>
      <c r="D79" s="28">
        <v>7.5218275737161698E-5</v>
      </c>
      <c r="E79" s="28">
        <v>5.2693543890463583E-5</v>
      </c>
      <c r="F79" s="28">
        <v>99.995254337548275</v>
      </c>
    </row>
    <row r="80" spans="1:6">
      <c r="A80" s="41">
        <v>44661.25</v>
      </c>
      <c r="B80" s="24" t="s">
        <v>25</v>
      </c>
      <c r="C80" s="28">
        <v>5.0319228797027129E-3</v>
      </c>
      <c r="D80" s="28">
        <v>7.7445220744218411E-5</v>
      </c>
      <c r="E80" s="28">
        <v>5.2652560442175019E-5</v>
      </c>
      <c r="F80" s="28">
        <v>99.994837979339096</v>
      </c>
    </row>
    <row r="81" spans="1:6">
      <c r="A81" s="41">
        <v>44661.291666666664</v>
      </c>
      <c r="B81" s="24" t="s">
        <v>25</v>
      </c>
      <c r="C81" s="28">
        <v>4.1921606008400959E-3</v>
      </c>
      <c r="D81" s="28">
        <v>7.5674749395758238E-5</v>
      </c>
      <c r="E81" s="28">
        <v>5.2530102344543187E-5</v>
      </c>
      <c r="F81" s="28">
        <v>99.995679634547415</v>
      </c>
    </row>
    <row r="82" spans="1:6">
      <c r="A82" s="41">
        <v>44661.333333333336</v>
      </c>
      <c r="B82" s="24" t="s">
        <v>25</v>
      </c>
      <c r="C82" s="28">
        <v>3.3960415873317278E-3</v>
      </c>
      <c r="D82" s="28">
        <v>7.5300426283876905E-5</v>
      </c>
      <c r="E82" s="28">
        <v>5.2495754256089516E-5</v>
      </c>
      <c r="F82" s="28">
        <v>99.996476162232128</v>
      </c>
    </row>
    <row r="83" spans="1:6">
      <c r="A83" s="41">
        <v>44661.375</v>
      </c>
      <c r="B83" s="24" t="s">
        <v>25</v>
      </c>
      <c r="C83" s="28">
        <v>3.6881304535219465E-3</v>
      </c>
      <c r="D83" s="28">
        <v>7.4909851450938439E-5</v>
      </c>
      <c r="E83" s="28">
        <v>5.2428734556370184E-5</v>
      </c>
      <c r="F83" s="28">
        <v>99.996184530960463</v>
      </c>
    </row>
    <row r="84" spans="1:6">
      <c r="A84" s="41">
        <v>44661.416666666664</v>
      </c>
      <c r="B84" s="24" t="s">
        <v>25</v>
      </c>
      <c r="C84" s="28">
        <v>4.5464487866333737E-3</v>
      </c>
      <c r="D84" s="28">
        <v>7.6958706750183283E-5</v>
      </c>
      <c r="E84" s="28">
        <v>5.2342450207454929E-5</v>
      </c>
      <c r="F84" s="28">
        <v>99.995324250056399</v>
      </c>
    </row>
    <row r="85" spans="1:6">
      <c r="A85" s="41">
        <v>44661.458333333336</v>
      </c>
      <c r="B85" s="24" t="s">
        <v>25</v>
      </c>
      <c r="C85" s="28">
        <v>3.9303095824727496E-3</v>
      </c>
      <c r="D85" s="28">
        <v>7.6940080454840156E-5</v>
      </c>
      <c r="E85" s="28">
        <v>5.1919499085612941E-5</v>
      </c>
      <c r="F85" s="28">
        <v>99.995940830837995</v>
      </c>
    </row>
    <row r="86" spans="1:6">
      <c r="A86" s="41">
        <v>44661.5</v>
      </c>
      <c r="B86" s="24" t="s">
        <v>25</v>
      </c>
      <c r="C86" s="28">
        <v>2.8609857143235408E-3</v>
      </c>
      <c r="D86" s="28">
        <v>7.4910533675293654E-5</v>
      </c>
      <c r="E86" s="28">
        <v>5.1946714253929812E-5</v>
      </c>
      <c r="F86" s="28">
        <v>99.997012157037744</v>
      </c>
    </row>
    <row r="87" spans="1:6">
      <c r="A87" s="41">
        <v>44661.541666666664</v>
      </c>
      <c r="B87" s="24" t="s">
        <v>25</v>
      </c>
      <c r="C87" s="28">
        <v>2.9432071442735508E-3</v>
      </c>
      <c r="D87" s="28">
        <v>7.0447594318630413E-5</v>
      </c>
      <c r="E87" s="28">
        <v>5.1560921969076219E-5</v>
      </c>
      <c r="F87" s="28">
        <v>99.996934784339459</v>
      </c>
    </row>
    <row r="88" spans="1:6">
      <c r="A88" s="41">
        <v>44661.583333333336</v>
      </c>
      <c r="B88" s="24" t="s">
        <v>25</v>
      </c>
      <c r="C88" s="28">
        <v>3.6327375386222996E-3</v>
      </c>
      <c r="D88" s="28">
        <v>7.0734609384869122E-5</v>
      </c>
      <c r="E88" s="28">
        <v>5.1360869945237242E-5</v>
      </c>
      <c r="F88" s="28">
        <v>99.99624516698205</v>
      </c>
    </row>
    <row r="89" spans="1:6">
      <c r="A89" s="41">
        <v>44661.625</v>
      </c>
      <c r="B89" s="24" t="s">
        <v>25</v>
      </c>
      <c r="C89" s="28">
        <v>4.1349452398925174E-3</v>
      </c>
      <c r="D89" s="28">
        <v>6.966210998677156E-5</v>
      </c>
      <c r="E89" s="28">
        <v>5.129824476252635E-5</v>
      </c>
      <c r="F89" s="28">
        <v>99.995744094405353</v>
      </c>
    </row>
    <row r="90" spans="1:6">
      <c r="A90" s="41">
        <v>44661.666666666664</v>
      </c>
      <c r="B90" s="24" t="s">
        <v>25</v>
      </c>
      <c r="C90" s="28">
        <v>3.3672685666981347E-3</v>
      </c>
      <c r="D90" s="28">
        <v>6.7867179348753614E-5</v>
      </c>
      <c r="E90" s="28">
        <v>5.165201320547734E-5</v>
      </c>
      <c r="F90" s="28">
        <v>99.996513212240728</v>
      </c>
    </row>
    <row r="91" spans="1:6">
      <c r="A91" s="41">
        <v>44661.708333333336</v>
      </c>
      <c r="B91" s="24" t="s">
        <v>25</v>
      </c>
      <c r="C91" s="28">
        <v>2.93059162064313E-3</v>
      </c>
      <c r="D91" s="28">
        <v>7.0117139827916884E-5</v>
      </c>
      <c r="E91" s="28">
        <v>5.3575365678491226E-5</v>
      </c>
      <c r="F91" s="28">
        <v>99.996945715873849</v>
      </c>
    </row>
    <row r="92" spans="1:6">
      <c r="A92" s="41">
        <v>44661.75</v>
      </c>
      <c r="B92" s="24" t="s">
        <v>25</v>
      </c>
      <c r="C92" s="28">
        <v>3.3247339471967046E-3</v>
      </c>
      <c r="D92" s="28">
        <v>7.1401007322095746E-5</v>
      </c>
      <c r="E92" s="28">
        <v>5.496776112767583E-5</v>
      </c>
      <c r="F92" s="28">
        <v>99.996548897284356</v>
      </c>
    </row>
    <row r="93" spans="1:6">
      <c r="A93" s="41">
        <v>44661.791666666664</v>
      </c>
      <c r="B93" s="24" t="s">
        <v>25</v>
      </c>
      <c r="C93" s="28">
        <v>4.1297341923111335E-3</v>
      </c>
      <c r="D93" s="28">
        <v>7.2214448647132517E-5</v>
      </c>
      <c r="E93" s="28">
        <v>5.5764281536626304E-5</v>
      </c>
      <c r="F93" s="28">
        <v>99.995742287077505</v>
      </c>
    </row>
    <row r="94" spans="1:6">
      <c r="A94" s="41">
        <v>44661.833333333336</v>
      </c>
      <c r="B94" s="24" t="s">
        <v>25</v>
      </c>
      <c r="C94" s="28">
        <v>4.2921064031939387E-3</v>
      </c>
      <c r="D94" s="28">
        <v>7.1200582471829689E-5</v>
      </c>
      <c r="E94" s="28">
        <v>5.6489346319582482E-5</v>
      </c>
      <c r="F94" s="28">
        <v>99.995580203668013</v>
      </c>
    </row>
    <row r="95" spans="1:6">
      <c r="A95" s="41">
        <v>44661.875</v>
      </c>
      <c r="B95" s="24" t="s">
        <v>25</v>
      </c>
      <c r="C95" s="28">
        <v>3.6731862843952731E-3</v>
      </c>
      <c r="D95" s="28">
        <v>6.9092807012748126E-5</v>
      </c>
      <c r="E95" s="28">
        <v>5.6611652621728987E-5</v>
      </c>
      <c r="F95" s="28">
        <v>99.996201109255978</v>
      </c>
    </row>
    <row r="96" spans="1:6">
      <c r="A96" s="41">
        <v>44661.916666666664</v>
      </c>
      <c r="B96" s="24" t="s">
        <v>25</v>
      </c>
      <c r="C96" s="28">
        <v>3.5532255647845747E-3</v>
      </c>
      <c r="D96" s="28">
        <v>6.6713562893396983E-5</v>
      </c>
      <c r="E96" s="28">
        <v>5.7027529203934277E-5</v>
      </c>
      <c r="F96" s="28">
        <v>99.996323033343117</v>
      </c>
    </row>
    <row r="97" spans="1:6">
      <c r="A97" s="41">
        <v>44661.958333333336</v>
      </c>
      <c r="B97" s="24" t="s">
        <v>25</v>
      </c>
      <c r="C97" s="28">
        <v>4.0988794743060889E-3</v>
      </c>
      <c r="D97" s="28">
        <v>6.8239253114254974E-5</v>
      </c>
      <c r="E97" s="28">
        <v>5.5449653659694193E-5</v>
      </c>
      <c r="F97" s="28">
        <v>99.995777431618933</v>
      </c>
    </row>
    <row r="98" spans="1:6">
      <c r="A98" s="41">
        <v>44662</v>
      </c>
      <c r="B98" s="24" t="s">
        <v>25</v>
      </c>
      <c r="C98" s="28">
        <v>4.4505429447372546E-3</v>
      </c>
      <c r="D98" s="28">
        <v>6.8225620235687386E-5</v>
      </c>
      <c r="E98" s="28">
        <v>5.5324932313156663E-5</v>
      </c>
      <c r="F98" s="28">
        <v>99.995425906502717</v>
      </c>
    </row>
    <row r="99" spans="1:6">
      <c r="A99" s="41">
        <v>44662.041666666664</v>
      </c>
      <c r="B99" s="24" t="s">
        <v>25</v>
      </c>
      <c r="C99" s="28">
        <v>4.2219939870613149E-3</v>
      </c>
      <c r="D99" s="28">
        <v>7.0420801276628294E-5</v>
      </c>
      <c r="E99" s="28">
        <v>5.5196869006438435E-5</v>
      </c>
      <c r="F99" s="28">
        <v>99.995652388342648</v>
      </c>
    </row>
    <row r="100" spans="1:6">
      <c r="A100" s="41">
        <v>44662.083333333336</v>
      </c>
      <c r="B100" s="24" t="s">
        <v>25</v>
      </c>
      <c r="C100" s="28">
        <v>4.4767906127593819E-3</v>
      </c>
      <c r="D100" s="28">
        <v>7.1668210535550127E-5</v>
      </c>
      <c r="E100" s="28">
        <v>5.5220128508011588E-5</v>
      </c>
      <c r="F100" s="28">
        <v>99.995396321048204</v>
      </c>
    </row>
    <row r="101" spans="1:6">
      <c r="A101" s="41">
        <v>44662.125</v>
      </c>
      <c r="B101" s="24" t="s">
        <v>25</v>
      </c>
      <c r="C101" s="28">
        <v>4.5984102051458897E-3</v>
      </c>
      <c r="D101" s="28">
        <v>7.2138662076362667E-5</v>
      </c>
      <c r="E101" s="28">
        <v>5.4952993431187368E-5</v>
      </c>
      <c r="F101" s="28">
        <v>99.995274498139338</v>
      </c>
    </row>
    <row r="102" spans="1:6">
      <c r="A102" s="41">
        <v>44662.166666666664</v>
      </c>
      <c r="B102" s="24" t="s">
        <v>25</v>
      </c>
      <c r="C102" s="28">
        <v>4.3831874173306173E-3</v>
      </c>
      <c r="D102" s="28">
        <v>7.3088905061504964E-5</v>
      </c>
      <c r="E102" s="28">
        <v>5.4266309286885184E-5</v>
      </c>
      <c r="F102" s="28">
        <v>99.995489457368308</v>
      </c>
    </row>
    <row r="103" spans="1:6">
      <c r="A103" s="41">
        <v>44662.208333333336</v>
      </c>
      <c r="B103" s="24" t="s">
        <v>25</v>
      </c>
      <c r="C103" s="28">
        <v>5.3419914919483683E-3</v>
      </c>
      <c r="D103" s="28">
        <v>7.4406819517208576E-5</v>
      </c>
      <c r="E103" s="28">
        <v>5.3973868344627397E-5</v>
      </c>
      <c r="F103" s="28">
        <v>99.994529627820199</v>
      </c>
    </row>
    <row r="104" spans="1:6">
      <c r="A104" s="41">
        <v>44662.25</v>
      </c>
      <c r="B104" s="24" t="s">
        <v>25</v>
      </c>
      <c r="C104" s="28">
        <v>6.3316680003276844E-3</v>
      </c>
      <c r="D104" s="28">
        <v>8.4324930537034662E-5</v>
      </c>
      <c r="E104" s="28">
        <v>5.18625840552345E-5</v>
      </c>
      <c r="F104" s="28">
        <v>99.993532144485073</v>
      </c>
    </row>
    <row r="105" spans="1:6">
      <c r="A105" s="41">
        <v>44662.291666666664</v>
      </c>
      <c r="B105" s="24" t="s">
        <v>25</v>
      </c>
      <c r="C105" s="28">
        <v>5.8949440074365341E-3</v>
      </c>
      <c r="D105" s="28">
        <v>7.5865151225287778E-5</v>
      </c>
      <c r="E105" s="28">
        <v>5.2862216588086404E-5</v>
      </c>
      <c r="F105" s="28">
        <v>99.99397632862474</v>
      </c>
    </row>
    <row r="106" spans="1:6">
      <c r="A106" s="41">
        <v>44662.333333333336</v>
      </c>
      <c r="B106" s="24" t="s">
        <v>25</v>
      </c>
      <c r="C106" s="28">
        <v>4.5468383540783952E-3</v>
      </c>
      <c r="D106" s="28">
        <v>4.9751439764942064E-5</v>
      </c>
      <c r="E106" s="28">
        <v>5.3040384976492634E-5</v>
      </c>
      <c r="F106" s="28">
        <v>99.995350369821182</v>
      </c>
    </row>
    <row r="107" spans="1:6">
      <c r="A107" s="41">
        <v>44662.375</v>
      </c>
      <c r="B107" s="24" t="s">
        <v>25</v>
      </c>
      <c r="C107" s="28">
        <v>3.9228888730634673E-3</v>
      </c>
      <c r="D107" s="28">
        <v>3.9597516600777971E-5</v>
      </c>
      <c r="E107" s="28">
        <v>5.2437796968605476E-5</v>
      </c>
      <c r="F107" s="28">
        <v>99.995985075813365</v>
      </c>
    </row>
    <row r="108" spans="1:6">
      <c r="A108" s="41">
        <v>44662.416666666664</v>
      </c>
      <c r="B108" s="24" t="s">
        <v>25</v>
      </c>
      <c r="C108" s="28">
        <v>3.7929540613242502E-3</v>
      </c>
      <c r="D108" s="28">
        <v>4.1634318347567201E-5</v>
      </c>
      <c r="E108" s="28">
        <v>5.1724158639348953E-5</v>
      </c>
      <c r="F108" s="28">
        <v>99.996113687461701</v>
      </c>
    </row>
    <row r="109" spans="1:6">
      <c r="A109" s="41">
        <v>44662.458333333336</v>
      </c>
      <c r="B109" s="24" t="s">
        <v>25</v>
      </c>
      <c r="C109" s="28">
        <v>4.9765518982387673E-3</v>
      </c>
      <c r="D109" s="28">
        <v>4.0960211076811832E-5</v>
      </c>
      <c r="E109" s="28">
        <v>5.2390032311798566E-5</v>
      </c>
      <c r="F109" s="28">
        <v>99.994930097858372</v>
      </c>
    </row>
    <row r="110" spans="1:6">
      <c r="A110" s="41">
        <v>44662.5</v>
      </c>
      <c r="B110" s="24" t="s">
        <v>25</v>
      </c>
      <c r="C110" s="28">
        <v>5.9949256513732513E-3</v>
      </c>
      <c r="D110" s="28">
        <v>3.8869552892576316E-5</v>
      </c>
      <c r="E110" s="28">
        <v>5.2482909631516395E-5</v>
      </c>
      <c r="F110" s="28">
        <v>99.993913721886102</v>
      </c>
    </row>
    <row r="111" spans="1:6">
      <c r="A111" s="41">
        <v>44662.541666666664</v>
      </c>
      <c r="B111" s="24" t="s">
        <v>25</v>
      </c>
      <c r="C111" s="28">
        <v>5.0328560922241038E-3</v>
      </c>
      <c r="D111" s="28">
        <v>4.1206009862096205E-5</v>
      </c>
      <c r="E111" s="28">
        <v>5.2038434866424363E-5</v>
      </c>
      <c r="F111" s="28">
        <v>99.994873899463059</v>
      </c>
    </row>
    <row r="112" spans="1:6">
      <c r="A112" s="41">
        <v>44662.583333333336</v>
      </c>
      <c r="B112" s="24" t="s">
        <v>25</v>
      </c>
      <c r="C112" s="28">
        <v>3.497494958706967E-3</v>
      </c>
      <c r="D112" s="28">
        <v>4.9747014262607469E-5</v>
      </c>
      <c r="E112" s="28">
        <v>5.2546159766070797E-5</v>
      </c>
      <c r="F112" s="28">
        <v>99.996400211867268</v>
      </c>
    </row>
    <row r="113" spans="1:6">
      <c r="A113" s="41">
        <v>44662.625</v>
      </c>
      <c r="B113" s="24" t="s">
        <v>25</v>
      </c>
      <c r="C113" s="28">
        <v>3.2027560066750483E-3</v>
      </c>
      <c r="D113" s="28">
        <v>8.0612362556934419E-5</v>
      </c>
      <c r="E113" s="28">
        <v>5.4630410970612674E-5</v>
      </c>
      <c r="F113" s="28">
        <v>99.996662001219804</v>
      </c>
    </row>
    <row r="114" spans="1:6">
      <c r="A114" s="41">
        <v>44662.666666666664</v>
      </c>
      <c r="B114" s="24" t="s">
        <v>25</v>
      </c>
      <c r="C114" s="28">
        <v>3.7554387960087509E-3</v>
      </c>
      <c r="D114" s="28">
        <v>8.8588608403792759E-5</v>
      </c>
      <c r="E114" s="28">
        <v>5.8195717386898916E-5</v>
      </c>
      <c r="F114" s="28">
        <v>99.996097776878202</v>
      </c>
    </row>
    <row r="115" spans="1:6">
      <c r="A115" s="41">
        <v>44662.708333333336</v>
      </c>
      <c r="B115" s="24" t="s">
        <v>25</v>
      </c>
      <c r="C115" s="28">
        <v>4.2394283836897084E-3</v>
      </c>
      <c r="D115" s="28">
        <v>8.7340916471706604E-5</v>
      </c>
      <c r="E115" s="28">
        <v>5.5112983220259872E-5</v>
      </c>
      <c r="F115" s="28">
        <v>99.995618117716617</v>
      </c>
    </row>
    <row r="116" spans="1:6">
      <c r="A116" s="41">
        <v>44662.75</v>
      </c>
      <c r="B116" s="24" t="s">
        <v>25</v>
      </c>
      <c r="C116" s="28">
        <v>4.3742293554241288E-3</v>
      </c>
      <c r="D116" s="28">
        <v>8.6391353562982514E-5</v>
      </c>
      <c r="E116" s="28">
        <v>5.264109655647515E-5</v>
      </c>
      <c r="F116" s="28">
        <v>99.995486738194458</v>
      </c>
    </row>
    <row r="117" spans="1:6">
      <c r="A117" s="41">
        <v>44662.791666666664</v>
      </c>
      <c r="B117" s="24" t="s">
        <v>25</v>
      </c>
      <c r="C117" s="28">
        <v>3.9623758143402963E-3</v>
      </c>
      <c r="D117" s="28">
        <v>8.4814459102723277E-5</v>
      </c>
      <c r="E117" s="28">
        <v>5.2589498907005709E-5</v>
      </c>
      <c r="F117" s="28">
        <v>99.995900220227654</v>
      </c>
    </row>
    <row r="118" spans="1:6">
      <c r="A118" s="41">
        <v>44662.833333333336</v>
      </c>
      <c r="B118" s="24" t="s">
        <v>25</v>
      </c>
      <c r="C118" s="28">
        <v>3.6019011263421926E-3</v>
      </c>
      <c r="D118" s="28">
        <v>8.1703494935342452E-5</v>
      </c>
      <c r="E118" s="28">
        <v>5.3504606564639399E-5</v>
      </c>
      <c r="F118" s="28">
        <v>99.996262890772158</v>
      </c>
    </row>
    <row r="119" spans="1:6">
      <c r="A119" s="41">
        <v>44662.875</v>
      </c>
      <c r="B119" s="24" t="s">
        <v>25</v>
      </c>
      <c r="C119" s="28">
        <v>3.6580726930256729E-3</v>
      </c>
      <c r="D119" s="28">
        <v>7.8910525400449684E-5</v>
      </c>
      <c r="E119" s="28">
        <v>5.3575528475399687E-5</v>
      </c>
      <c r="F119" s="28">
        <v>99.996209441253086</v>
      </c>
    </row>
    <row r="120" spans="1:6">
      <c r="A120" s="41">
        <v>44662.916666666664</v>
      </c>
      <c r="B120" s="24" t="s">
        <v>25</v>
      </c>
      <c r="C120" s="28">
        <v>3.740805241144448E-3</v>
      </c>
      <c r="D120" s="28">
        <v>8.1416909679307665E-5</v>
      </c>
      <c r="E120" s="28">
        <v>5.3184908426843776E-5</v>
      </c>
      <c r="F120" s="28">
        <v>99.996124592940745</v>
      </c>
    </row>
    <row r="121" spans="1:6">
      <c r="A121" s="41">
        <v>44662.958333333336</v>
      </c>
      <c r="B121" s="24" t="s">
        <v>25</v>
      </c>
      <c r="C121" s="28">
        <v>3.8092319578911607E-3</v>
      </c>
      <c r="D121" s="28">
        <v>8.7072799466695328E-5</v>
      </c>
      <c r="E121" s="28">
        <v>5.3622228730427478E-5</v>
      </c>
      <c r="F121" s="28">
        <v>99.996050073013905</v>
      </c>
    </row>
    <row r="122" spans="1:6">
      <c r="A122" s="41">
        <v>44663</v>
      </c>
      <c r="B122" s="24" t="s">
        <v>25</v>
      </c>
      <c r="C122" s="28">
        <v>4.5572800565523985E-3</v>
      </c>
      <c r="D122" s="28">
        <v>9.291815738830506E-5</v>
      </c>
      <c r="E122" s="28">
        <v>5.3027293857731936E-5</v>
      </c>
      <c r="F122" s="28">
        <v>99.995296774492203</v>
      </c>
    </row>
    <row r="123" spans="1:6">
      <c r="A123" s="41">
        <v>44663.041666666664</v>
      </c>
      <c r="B123" s="24" t="s">
        <v>25</v>
      </c>
      <c r="C123" s="28">
        <v>4.6474089310921578E-3</v>
      </c>
      <c r="D123" s="28">
        <v>8.0539003970529725E-5</v>
      </c>
      <c r="E123" s="28">
        <v>5.2323502589409076E-5</v>
      </c>
      <c r="F123" s="28">
        <v>99.995219728562361</v>
      </c>
    </row>
    <row r="124" spans="1:6">
      <c r="A124" s="41">
        <v>44663.083333333336</v>
      </c>
      <c r="B124" s="24" t="s">
        <v>25</v>
      </c>
      <c r="C124" s="28">
        <v>3.6326693601992834E-3</v>
      </c>
      <c r="D124" s="28">
        <v>7.4343865368487022E-5</v>
      </c>
      <c r="E124" s="28">
        <v>5.1842645350290828E-5</v>
      </c>
      <c r="F124" s="28">
        <v>99.996241144129087</v>
      </c>
    </row>
    <row r="125" spans="1:6">
      <c r="A125" s="41">
        <v>44663.125</v>
      </c>
      <c r="B125" s="24" t="s">
        <v>25</v>
      </c>
      <c r="C125" s="28">
        <v>3.3367078822140669E-3</v>
      </c>
      <c r="D125" s="28">
        <v>7.1913188123708913E-5</v>
      </c>
      <c r="E125" s="28">
        <v>5.1539368664936885E-5</v>
      </c>
      <c r="F125" s="28">
        <v>99.996539839560995</v>
      </c>
    </row>
    <row r="126" spans="1:6">
      <c r="A126" s="41">
        <v>44663.166666666664</v>
      </c>
      <c r="B126" s="24" t="s">
        <v>25</v>
      </c>
      <c r="C126" s="28">
        <v>3.371478092572747E-3</v>
      </c>
      <c r="D126" s="28">
        <v>7.3912939017708852E-5</v>
      </c>
      <c r="E126" s="28">
        <v>5.1461901428562769E-5</v>
      </c>
      <c r="F126" s="28">
        <v>99.996503147066989</v>
      </c>
    </row>
    <row r="127" spans="1:6">
      <c r="A127" s="41">
        <v>44663.208333333336</v>
      </c>
      <c r="B127" s="24" t="s">
        <v>25</v>
      </c>
      <c r="C127" s="28">
        <v>3.8347252188658328E-3</v>
      </c>
      <c r="D127" s="28">
        <v>8.1638907508566186E-5</v>
      </c>
      <c r="E127" s="28">
        <v>5.1906452657076821E-5</v>
      </c>
      <c r="F127" s="28">
        <v>99.996031729420963</v>
      </c>
    </row>
    <row r="128" spans="1:6">
      <c r="A128" s="41">
        <v>44663.25</v>
      </c>
      <c r="B128" s="24" t="s">
        <v>25</v>
      </c>
      <c r="C128" s="28">
        <v>4.9725116252595063E-3</v>
      </c>
      <c r="D128" s="28">
        <v>1.1058858548940149E-4</v>
      </c>
      <c r="E128" s="28">
        <v>5.186969212430996E-5</v>
      </c>
      <c r="F128" s="28">
        <v>99.994865030097131</v>
      </c>
    </row>
    <row r="129" spans="1:6">
      <c r="A129" s="41">
        <v>44663.291666666664</v>
      </c>
      <c r="B129" s="24" t="s">
        <v>25</v>
      </c>
      <c r="C129" s="28">
        <v>5.1752212895555911E-3</v>
      </c>
      <c r="D129" s="28">
        <v>1.1539188125513563E-4</v>
      </c>
      <c r="E129" s="28">
        <v>5.1806653883730214E-5</v>
      </c>
      <c r="F129" s="28">
        <v>99.9946575801753</v>
      </c>
    </row>
    <row r="130" spans="1:6">
      <c r="A130" s="41">
        <v>44663.333333333336</v>
      </c>
      <c r="B130" s="24" t="s">
        <v>25</v>
      </c>
      <c r="C130" s="28">
        <v>5.3877761115324703E-3</v>
      </c>
      <c r="D130" s="28">
        <v>1.1635111903979675E-4</v>
      </c>
      <c r="E130" s="28">
        <v>5.1672997969330766E-5</v>
      </c>
      <c r="F130" s="28">
        <v>99.994444199771465</v>
      </c>
    </row>
    <row r="131" spans="1:6">
      <c r="A131" s="41">
        <v>44663.375</v>
      </c>
      <c r="B131" s="24" t="s">
        <v>25</v>
      </c>
      <c r="C131" s="28">
        <v>6.0588691200456251E-3</v>
      </c>
      <c r="D131" s="28">
        <v>1.1390704946200397E-4</v>
      </c>
      <c r="E131" s="28">
        <v>5.1488065563140826E-5</v>
      </c>
      <c r="F131" s="28">
        <v>99.993775735764928</v>
      </c>
    </row>
    <row r="132" spans="1:6">
      <c r="A132" s="41">
        <v>44663.416666666664</v>
      </c>
      <c r="B132" s="24" t="s">
        <v>25</v>
      </c>
      <c r="C132" s="28">
        <v>5.8582128913271846E-3</v>
      </c>
      <c r="D132" s="28">
        <v>1.0900527882941551E-4</v>
      </c>
      <c r="E132" s="28">
        <v>5.1152650781787604E-5</v>
      </c>
      <c r="F132" s="28">
        <v>99.993981629179061</v>
      </c>
    </row>
    <row r="133" spans="1:6">
      <c r="A133" s="41">
        <v>44663.458333333336</v>
      </c>
      <c r="B133" s="24" t="s">
        <v>25</v>
      </c>
      <c r="C133" s="28">
        <v>5.1265215056008973E-3</v>
      </c>
      <c r="D133" s="28">
        <v>1.0943671888444859E-4</v>
      </c>
      <c r="E133" s="28">
        <v>5.1289101356650059E-5</v>
      </c>
      <c r="F133" s="28">
        <v>99.994712752674147</v>
      </c>
    </row>
    <row r="134" spans="1:6">
      <c r="A134" s="41">
        <v>44663.5</v>
      </c>
      <c r="B134" s="24" t="s">
        <v>25</v>
      </c>
      <c r="C134" s="28">
        <v>5.4915027405921333E-3</v>
      </c>
      <c r="D134" s="28">
        <v>1.0932285643019499E-4</v>
      </c>
      <c r="E134" s="28">
        <v>5.1253361229574782E-5</v>
      </c>
      <c r="F134" s="28">
        <v>99.994347921041737</v>
      </c>
    </row>
    <row r="135" spans="1:6">
      <c r="A135" s="41">
        <v>44663.541666666664</v>
      </c>
      <c r="B135" s="24" t="s">
        <v>25</v>
      </c>
      <c r="C135" s="28">
        <v>6.0876059705178608E-3</v>
      </c>
      <c r="D135" s="28">
        <v>1.1597416834154957E-4</v>
      </c>
      <c r="E135" s="28">
        <v>5.1063891039042052E-5</v>
      </c>
      <c r="F135" s="28">
        <v>99.993745355970105</v>
      </c>
    </row>
    <row r="136" spans="1:6">
      <c r="A136" s="41">
        <v>44663.583333333336</v>
      </c>
      <c r="B136" s="24" t="s">
        <v>25</v>
      </c>
      <c r="C136" s="28">
        <v>6.830733772877867E-3</v>
      </c>
      <c r="D136" s="28">
        <v>1.13566206593276E-4</v>
      </c>
      <c r="E136" s="28">
        <v>5.0875889870156095E-5</v>
      </c>
      <c r="F136" s="28">
        <v>99.993004824130665</v>
      </c>
    </row>
    <row r="137" spans="1:6">
      <c r="A137" s="41">
        <v>44663.625</v>
      </c>
      <c r="B137" s="24" t="s">
        <v>25</v>
      </c>
      <c r="C137" s="28">
        <v>6.8763768077267562E-3</v>
      </c>
      <c r="D137" s="28">
        <v>1.0096313250263028E-4</v>
      </c>
      <c r="E137" s="28">
        <v>5.0725327500598472E-5</v>
      </c>
      <c r="F137" s="28">
        <v>99.992971934732267</v>
      </c>
    </row>
    <row r="138" spans="1:6">
      <c r="A138" s="41">
        <v>44663.666666666664</v>
      </c>
      <c r="B138" s="24" t="s">
        <v>25</v>
      </c>
      <c r="C138" s="28">
        <v>6.257668574332742E-3</v>
      </c>
      <c r="D138" s="28">
        <v>8.5264189486332443E-5</v>
      </c>
      <c r="E138" s="28">
        <v>5.1165687890711551E-5</v>
      </c>
      <c r="F138" s="28">
        <v>99.993605901548293</v>
      </c>
    </row>
    <row r="139" spans="1:6">
      <c r="A139" s="41">
        <v>44663.708333333336</v>
      </c>
      <c r="B139" s="24" t="s">
        <v>25</v>
      </c>
      <c r="C139" s="28">
        <v>6.3953936719784435E-3</v>
      </c>
      <c r="D139" s="28">
        <v>8.5635092817834055E-5</v>
      </c>
      <c r="E139" s="28">
        <v>5.6264654211033926E-5</v>
      </c>
      <c r="F139" s="28">
        <v>99.993462706580999</v>
      </c>
    </row>
    <row r="140" spans="1:6">
      <c r="A140" s="41">
        <v>44663.75</v>
      </c>
      <c r="B140" s="24" t="s">
        <v>25</v>
      </c>
      <c r="C140" s="28">
        <v>7.4672353742670236E-3</v>
      </c>
      <c r="D140" s="28">
        <v>6.9296500256513753E-5</v>
      </c>
      <c r="E140" s="28">
        <v>6.2381607349448076E-5</v>
      </c>
      <c r="F140" s="28">
        <v>99.992401086518129</v>
      </c>
    </row>
    <row r="141" spans="1:6">
      <c r="A141" s="41">
        <v>44663.791666666664</v>
      </c>
      <c r="B141" s="24" t="s">
        <v>25</v>
      </c>
      <c r="C141" s="28">
        <v>7.1344303084248687E-3</v>
      </c>
      <c r="D141" s="28">
        <v>6.9366553671991148E-5</v>
      </c>
      <c r="E141" s="28">
        <v>6.1451477818401915E-5</v>
      </c>
      <c r="F141" s="28">
        <v>99.992734751660095</v>
      </c>
    </row>
    <row r="142" spans="1:6">
      <c r="A142" s="41">
        <v>44663.833333333336</v>
      </c>
      <c r="B142" s="24" t="s">
        <v>25</v>
      </c>
      <c r="C142" s="28">
        <v>6.3221794587880326E-3</v>
      </c>
      <c r="D142" s="28">
        <v>7.8309318259083541E-5</v>
      </c>
      <c r="E142" s="28">
        <v>5.9670468301602002E-5</v>
      </c>
      <c r="F142" s="28">
        <v>99.99353984075465</v>
      </c>
    </row>
    <row r="143" spans="1:6">
      <c r="A143" s="41">
        <v>44663.875</v>
      </c>
      <c r="B143" s="24" t="s">
        <v>25</v>
      </c>
      <c r="C143" s="28">
        <v>6.0277410068079402E-3</v>
      </c>
      <c r="D143" s="28">
        <v>7.6937333430231015E-5</v>
      </c>
      <c r="E143" s="28">
        <v>5.9403342371828859E-5</v>
      </c>
      <c r="F143" s="28">
        <v>99.993835918317401</v>
      </c>
    </row>
    <row r="144" spans="1:6">
      <c r="A144" s="41">
        <v>44663.916666666664</v>
      </c>
      <c r="B144" s="24" t="s">
        <v>25</v>
      </c>
      <c r="C144" s="28">
        <v>6.549258744278085E-3</v>
      </c>
      <c r="D144" s="28">
        <v>7.3734274453008438E-5</v>
      </c>
      <c r="E144" s="28">
        <v>6.0120478438755831E-5</v>
      </c>
      <c r="F144" s="28">
        <v>99.993316886502825</v>
      </c>
    </row>
    <row r="145" spans="1:6">
      <c r="A145" s="41">
        <v>44663.958333333336</v>
      </c>
      <c r="B145" s="24" t="s">
        <v>25</v>
      </c>
      <c r="C145" s="28">
        <v>7.3682825489307787E-3</v>
      </c>
      <c r="D145" s="28">
        <v>7.2355114916605617E-5</v>
      </c>
      <c r="E145" s="28">
        <v>5.7745165459446183E-5</v>
      </c>
      <c r="F145" s="28">
        <v>99.992501617170689</v>
      </c>
    </row>
    <row r="146" spans="1:6">
      <c r="B146" s="24"/>
    </row>
    <row r="147" spans="1:6">
      <c r="B147" s="24"/>
    </row>
    <row r="148" spans="1:6">
      <c r="B148" s="24"/>
    </row>
    <row r="149" spans="1:6">
      <c r="B149" s="24"/>
    </row>
    <row r="150" spans="1:6">
      <c r="B150" s="24"/>
    </row>
    <row r="151" spans="1:6">
      <c r="B151" s="24"/>
    </row>
    <row r="152" spans="1:6">
      <c r="B152" s="24"/>
    </row>
    <row r="153" spans="1:6">
      <c r="B153" s="24"/>
    </row>
    <row r="154" spans="1:6">
      <c r="B154" s="24"/>
    </row>
    <row r="155" spans="1:6">
      <c r="B155" s="24"/>
    </row>
    <row r="156" spans="1:6">
      <c r="B156" s="24"/>
    </row>
    <row r="157" spans="1:6">
      <c r="B157" s="24"/>
    </row>
    <row r="158" spans="1:6">
      <c r="B158" s="24"/>
    </row>
    <row r="159" spans="1:6">
      <c r="B159" s="24"/>
    </row>
    <row r="160" spans="1:6">
      <c r="B160" s="24"/>
    </row>
    <row r="161" spans="2:2">
      <c r="B161" s="24"/>
    </row>
    <row r="162" spans="2:2">
      <c r="B162" s="24"/>
    </row>
    <row r="163" spans="2:2">
      <c r="B163" s="24"/>
    </row>
    <row r="164" spans="2:2">
      <c r="B164" s="24"/>
    </row>
    <row r="165" spans="2:2">
      <c r="B165" s="24"/>
    </row>
    <row r="166" spans="2:2">
      <c r="B166" s="24"/>
    </row>
    <row r="167" spans="2:2">
      <c r="B167" s="24"/>
    </row>
    <row r="168" spans="2:2">
      <c r="B168" s="24"/>
    </row>
    <row r="169" spans="2:2">
      <c r="B169" s="24"/>
    </row>
    <row r="170" spans="2:2">
      <c r="B170" s="24"/>
    </row>
    <row r="171" spans="2:2">
      <c r="B171" s="24"/>
    </row>
    <row r="172" spans="2:2">
      <c r="B172" s="24"/>
    </row>
    <row r="173" spans="2:2">
      <c r="B173" s="24"/>
    </row>
    <row r="174" spans="2:2">
      <c r="B174" s="24"/>
    </row>
    <row r="175" spans="2:2">
      <c r="B175" s="24"/>
    </row>
    <row r="176" spans="2:2">
      <c r="B176" s="24"/>
    </row>
    <row r="177" spans="2:2">
      <c r="B177" s="24"/>
    </row>
    <row r="178" spans="2:2">
      <c r="B178" s="24"/>
    </row>
    <row r="179" spans="2:2">
      <c r="B179" s="24"/>
    </row>
    <row r="180" spans="2:2">
      <c r="B180" s="24"/>
    </row>
    <row r="181" spans="2:2">
      <c r="B181" s="24"/>
    </row>
    <row r="182" spans="2:2">
      <c r="B182" s="24"/>
    </row>
    <row r="183" spans="2:2">
      <c r="B183" s="24"/>
    </row>
    <row r="184" spans="2:2">
      <c r="B184" s="24"/>
    </row>
    <row r="185" spans="2:2">
      <c r="B185" s="24"/>
    </row>
    <row r="186" spans="2:2">
      <c r="B186" s="24"/>
    </row>
    <row r="187" spans="2:2">
      <c r="B187" s="24"/>
    </row>
    <row r="188" spans="2:2">
      <c r="B188" s="24"/>
    </row>
    <row r="189" spans="2:2">
      <c r="B189" s="24"/>
    </row>
    <row r="190" spans="2:2">
      <c r="B190" s="24"/>
    </row>
    <row r="191" spans="2:2">
      <c r="B191" s="24"/>
    </row>
    <row r="192" spans="2:2">
      <c r="B192" s="24"/>
    </row>
    <row r="193" spans="2:2">
      <c r="B193" s="24"/>
    </row>
    <row r="194" spans="2:2">
      <c r="B194" s="24"/>
    </row>
    <row r="195" spans="2:2">
      <c r="B195" s="24"/>
    </row>
    <row r="196" spans="2:2">
      <c r="B196" s="24"/>
    </row>
    <row r="197" spans="2:2">
      <c r="B197" s="24"/>
    </row>
    <row r="198" spans="2:2">
      <c r="B198" s="24"/>
    </row>
    <row r="199" spans="2:2">
      <c r="B199" s="24"/>
    </row>
    <row r="200" spans="2:2">
      <c r="B200" s="24"/>
    </row>
    <row r="201" spans="2:2">
      <c r="B201" s="24"/>
    </row>
    <row r="202" spans="2:2">
      <c r="B202" s="24"/>
    </row>
    <row r="203" spans="2:2">
      <c r="B203" s="24"/>
    </row>
    <row r="204" spans="2:2">
      <c r="B204" s="24"/>
    </row>
    <row r="205" spans="2:2">
      <c r="B205" s="24"/>
    </row>
    <row r="206" spans="2:2">
      <c r="B206" s="24"/>
    </row>
    <row r="207" spans="2:2">
      <c r="B207" s="24"/>
    </row>
    <row r="208" spans="2:2">
      <c r="B208" s="24"/>
    </row>
    <row r="209" spans="2:2">
      <c r="B209" s="24"/>
    </row>
    <row r="210" spans="2:2">
      <c r="B210" s="24"/>
    </row>
    <row r="211" spans="2:2">
      <c r="B211" s="24"/>
    </row>
    <row r="212" spans="2:2">
      <c r="B212" s="24"/>
    </row>
    <row r="213" spans="2:2">
      <c r="B213" s="24"/>
    </row>
    <row r="214" spans="2:2">
      <c r="B214" s="24"/>
    </row>
    <row r="215" spans="2:2">
      <c r="B215" s="24"/>
    </row>
    <row r="216" spans="2:2">
      <c r="B216" s="24"/>
    </row>
    <row r="217" spans="2:2">
      <c r="B217" s="24"/>
    </row>
    <row r="218" spans="2:2">
      <c r="B218" s="24"/>
    </row>
    <row r="219" spans="2:2">
      <c r="B219" s="24"/>
    </row>
    <row r="220" spans="2:2">
      <c r="B220" s="24"/>
    </row>
    <row r="221" spans="2:2">
      <c r="B221" s="24"/>
    </row>
    <row r="222" spans="2:2">
      <c r="B222" s="24"/>
    </row>
    <row r="223" spans="2:2">
      <c r="B223" s="24"/>
    </row>
    <row r="224" spans="2:2">
      <c r="B224" s="24"/>
    </row>
    <row r="225" spans="2:2">
      <c r="B225" s="24"/>
    </row>
    <row r="226" spans="2:2">
      <c r="B226" s="24"/>
    </row>
    <row r="227" spans="2:2">
      <c r="B227" s="24"/>
    </row>
    <row r="228" spans="2:2">
      <c r="B228" s="24"/>
    </row>
    <row r="229" spans="2:2">
      <c r="B229" s="24"/>
    </row>
    <row r="230" spans="2:2">
      <c r="B230" s="24"/>
    </row>
    <row r="231" spans="2:2">
      <c r="B231" s="24"/>
    </row>
    <row r="232" spans="2:2">
      <c r="B232" s="24"/>
    </row>
    <row r="233" spans="2:2">
      <c r="B233" s="24"/>
    </row>
    <row r="234" spans="2:2">
      <c r="B234" s="24"/>
    </row>
    <row r="235" spans="2:2">
      <c r="B235" s="24"/>
    </row>
    <row r="236" spans="2:2">
      <c r="B236" s="24"/>
    </row>
    <row r="237" spans="2:2">
      <c r="B237" s="24"/>
    </row>
    <row r="238" spans="2:2">
      <c r="B238" s="24"/>
    </row>
    <row r="239" spans="2:2">
      <c r="B239" s="24"/>
    </row>
    <row r="240" spans="2:2">
      <c r="B240" s="24"/>
    </row>
    <row r="241" spans="2:2">
      <c r="B241" s="24"/>
    </row>
    <row r="242" spans="2:2">
      <c r="B242" s="24"/>
    </row>
    <row r="243" spans="2:2">
      <c r="B243" s="24"/>
    </row>
    <row r="244" spans="2:2">
      <c r="B244" s="24"/>
    </row>
    <row r="245" spans="2:2">
      <c r="B245" s="24"/>
    </row>
    <row r="246" spans="2:2">
      <c r="B246" s="24"/>
    </row>
    <row r="247" spans="2:2">
      <c r="B247" s="24"/>
    </row>
    <row r="248" spans="2:2">
      <c r="B248" s="24"/>
    </row>
    <row r="249" spans="2:2">
      <c r="B249" s="24"/>
    </row>
    <row r="250" spans="2:2">
      <c r="B250" s="24"/>
    </row>
    <row r="251" spans="2:2">
      <c r="B251" s="24"/>
    </row>
    <row r="252" spans="2:2">
      <c r="B252" s="24"/>
    </row>
    <row r="253" spans="2:2">
      <c r="B253" s="24"/>
    </row>
    <row r="254" spans="2:2">
      <c r="B254" s="24"/>
    </row>
    <row r="255" spans="2:2">
      <c r="B255" s="24"/>
    </row>
    <row r="256" spans="2:2">
      <c r="B256" s="24"/>
    </row>
    <row r="257" spans="2:2">
      <c r="B257" s="24"/>
    </row>
    <row r="258" spans="2:2">
      <c r="B258" s="24"/>
    </row>
    <row r="259" spans="2:2">
      <c r="B259" s="24"/>
    </row>
    <row r="260" spans="2:2">
      <c r="B260" s="24"/>
    </row>
    <row r="261" spans="2:2">
      <c r="B261" s="24"/>
    </row>
    <row r="262" spans="2:2">
      <c r="B262" s="24"/>
    </row>
    <row r="263" spans="2:2">
      <c r="B263" s="24"/>
    </row>
    <row r="264" spans="2:2">
      <c r="B264" s="24"/>
    </row>
    <row r="265" spans="2:2">
      <c r="B265" s="24"/>
    </row>
    <row r="266" spans="2:2">
      <c r="B266" s="24"/>
    </row>
    <row r="267" spans="2:2">
      <c r="B267" s="24"/>
    </row>
    <row r="268" spans="2:2">
      <c r="B268" s="24"/>
    </row>
    <row r="269" spans="2:2">
      <c r="B269" s="24"/>
    </row>
    <row r="270" spans="2:2">
      <c r="B270" s="24"/>
    </row>
    <row r="271" spans="2:2">
      <c r="B271" s="24"/>
    </row>
    <row r="272" spans="2:2">
      <c r="B272" s="24"/>
    </row>
    <row r="273" spans="2:2">
      <c r="B273" s="24"/>
    </row>
    <row r="274" spans="2:2">
      <c r="B274" s="24"/>
    </row>
    <row r="275" spans="2:2">
      <c r="B275" s="24"/>
    </row>
    <row r="276" spans="2:2">
      <c r="B276" s="24"/>
    </row>
    <row r="277" spans="2:2">
      <c r="B277" s="24"/>
    </row>
    <row r="278" spans="2:2">
      <c r="B278" s="24"/>
    </row>
    <row r="279" spans="2:2">
      <c r="B279" s="24"/>
    </row>
    <row r="280" spans="2:2">
      <c r="B280" s="24"/>
    </row>
    <row r="281" spans="2:2">
      <c r="B281" s="24"/>
    </row>
    <row r="282" spans="2:2">
      <c r="B282" s="24"/>
    </row>
    <row r="283" spans="2:2">
      <c r="B283" s="24"/>
    </row>
    <row r="284" spans="2:2">
      <c r="B284" s="24"/>
    </row>
    <row r="285" spans="2:2">
      <c r="B285" s="24"/>
    </row>
    <row r="286" spans="2:2">
      <c r="B286" s="24"/>
    </row>
    <row r="287" spans="2:2">
      <c r="B287" s="24"/>
    </row>
    <row r="288" spans="2:2">
      <c r="B288" s="24"/>
    </row>
    <row r="289" spans="2:2">
      <c r="B289" s="24"/>
    </row>
    <row r="290" spans="2:2">
      <c r="B290" s="24"/>
    </row>
    <row r="291" spans="2:2">
      <c r="B291" s="24"/>
    </row>
    <row r="292" spans="2:2">
      <c r="B292" s="24"/>
    </row>
    <row r="293" spans="2:2">
      <c r="B293" s="24"/>
    </row>
    <row r="294" spans="2:2">
      <c r="B294" s="24"/>
    </row>
    <row r="295" spans="2:2">
      <c r="B295" s="24"/>
    </row>
    <row r="296" spans="2:2">
      <c r="B296" s="24"/>
    </row>
    <row r="297" spans="2:2">
      <c r="B297" s="24"/>
    </row>
    <row r="298" spans="2:2">
      <c r="B298" s="24"/>
    </row>
    <row r="299" spans="2:2">
      <c r="B299" s="24"/>
    </row>
    <row r="300" spans="2:2">
      <c r="B300" s="24"/>
    </row>
    <row r="301" spans="2:2">
      <c r="B301" s="24"/>
    </row>
    <row r="302" spans="2:2">
      <c r="B302" s="24"/>
    </row>
    <row r="303" spans="2:2">
      <c r="B303" s="24"/>
    </row>
    <row r="304" spans="2:2">
      <c r="B304" s="24"/>
    </row>
    <row r="305" spans="2:2">
      <c r="B305" s="24"/>
    </row>
    <row r="306" spans="2:2">
      <c r="B306" s="24"/>
    </row>
    <row r="307" spans="2:2">
      <c r="B307" s="24"/>
    </row>
    <row r="308" spans="2:2">
      <c r="B308" s="24"/>
    </row>
    <row r="309" spans="2:2">
      <c r="B309" s="24"/>
    </row>
    <row r="310" spans="2:2">
      <c r="B310" s="24"/>
    </row>
    <row r="311" spans="2:2">
      <c r="B311" s="24"/>
    </row>
    <row r="312" spans="2:2">
      <c r="B312" s="24"/>
    </row>
    <row r="313" spans="2:2">
      <c r="B313" s="24"/>
    </row>
    <row r="314" spans="2:2">
      <c r="B314" s="24"/>
    </row>
    <row r="315" spans="2:2">
      <c r="B315" s="24"/>
    </row>
    <row r="316" spans="2:2">
      <c r="B316" s="24"/>
    </row>
    <row r="317" spans="2:2">
      <c r="B317" s="24"/>
    </row>
    <row r="318" spans="2:2">
      <c r="B318" s="24"/>
    </row>
    <row r="319" spans="2:2">
      <c r="B319" s="24"/>
    </row>
    <row r="320" spans="2:2">
      <c r="B320" s="24"/>
    </row>
    <row r="321" spans="2:2">
      <c r="B321" s="24"/>
    </row>
    <row r="322" spans="2:2">
      <c r="B322" s="24"/>
    </row>
    <row r="323" spans="2:2">
      <c r="B323" s="24"/>
    </row>
    <row r="324" spans="2:2">
      <c r="B324" s="24"/>
    </row>
    <row r="325" spans="2:2">
      <c r="B325" s="24"/>
    </row>
    <row r="326" spans="2:2">
      <c r="B326" s="24"/>
    </row>
    <row r="327" spans="2:2">
      <c r="B327" s="24"/>
    </row>
    <row r="328" spans="2:2">
      <c r="B328" s="24"/>
    </row>
    <row r="329" spans="2:2">
      <c r="B329" s="24"/>
    </row>
    <row r="330" spans="2:2">
      <c r="B330" s="24"/>
    </row>
    <row r="331" spans="2:2">
      <c r="B331" s="24"/>
    </row>
    <row r="332" spans="2:2">
      <c r="B332" s="24"/>
    </row>
    <row r="333" spans="2:2">
      <c r="B333" s="24"/>
    </row>
    <row r="334" spans="2:2">
      <c r="B334" s="24"/>
    </row>
    <row r="335" spans="2:2">
      <c r="B335" s="24"/>
    </row>
    <row r="336" spans="2:2">
      <c r="B336" s="24"/>
    </row>
    <row r="337" spans="2:2">
      <c r="B337" s="24"/>
    </row>
    <row r="338" spans="2:2">
      <c r="B338" s="24"/>
    </row>
    <row r="339" spans="2:2">
      <c r="B339" s="24"/>
    </row>
    <row r="340" spans="2:2">
      <c r="B340" s="24"/>
    </row>
    <row r="341" spans="2:2">
      <c r="B341" s="24"/>
    </row>
    <row r="342" spans="2:2">
      <c r="B342" s="24"/>
    </row>
    <row r="343" spans="2:2">
      <c r="B343" s="24"/>
    </row>
    <row r="344" spans="2:2">
      <c r="B344" s="24"/>
    </row>
    <row r="345" spans="2:2">
      <c r="B345" s="24"/>
    </row>
    <row r="346" spans="2:2">
      <c r="B346" s="24"/>
    </row>
    <row r="347" spans="2:2">
      <c r="B347" s="24"/>
    </row>
    <row r="348" spans="2:2">
      <c r="B348" s="24"/>
    </row>
    <row r="349" spans="2:2">
      <c r="B349" s="24"/>
    </row>
    <row r="350" spans="2:2">
      <c r="B350" s="24"/>
    </row>
    <row r="351" spans="2:2">
      <c r="B351" s="24"/>
    </row>
    <row r="352" spans="2:2">
      <c r="B352" s="24"/>
    </row>
    <row r="353" spans="2:2">
      <c r="B353" s="24"/>
    </row>
    <row r="354" spans="2:2">
      <c r="B354" s="24"/>
    </row>
    <row r="355" spans="2:2">
      <c r="B355" s="24"/>
    </row>
    <row r="356" spans="2:2">
      <c r="B356" s="24"/>
    </row>
    <row r="357" spans="2:2">
      <c r="B357" s="24"/>
    </row>
    <row r="358" spans="2:2">
      <c r="B358" s="24"/>
    </row>
    <row r="359" spans="2:2">
      <c r="B359" s="24"/>
    </row>
    <row r="360" spans="2:2">
      <c r="B360" s="24"/>
    </row>
    <row r="361" spans="2:2">
      <c r="B361" s="24"/>
    </row>
    <row r="362" spans="2:2">
      <c r="B362" s="24"/>
    </row>
    <row r="363" spans="2:2">
      <c r="B363" s="24"/>
    </row>
    <row r="364" spans="2:2">
      <c r="B364" s="24"/>
    </row>
    <row r="365" spans="2:2">
      <c r="B365" s="24"/>
    </row>
    <row r="366" spans="2:2">
      <c r="B366" s="24"/>
    </row>
    <row r="367" spans="2:2">
      <c r="B367" s="24"/>
    </row>
    <row r="368" spans="2:2">
      <c r="B368" s="24"/>
    </row>
    <row r="369" spans="2:2">
      <c r="B369" s="24"/>
    </row>
    <row r="370" spans="2:2">
      <c r="B370" s="24"/>
    </row>
    <row r="371" spans="2:2">
      <c r="B371" s="24"/>
    </row>
    <row r="372" spans="2:2">
      <c r="B372" s="24"/>
    </row>
    <row r="373" spans="2:2">
      <c r="B373" s="24"/>
    </row>
    <row r="374" spans="2:2">
      <c r="B374" s="24"/>
    </row>
    <row r="375" spans="2:2">
      <c r="B375" s="24"/>
    </row>
    <row r="376" spans="2:2">
      <c r="B376" s="24"/>
    </row>
    <row r="377" spans="2:2">
      <c r="B377" s="24"/>
    </row>
    <row r="378" spans="2:2">
      <c r="B378" s="24"/>
    </row>
    <row r="379" spans="2:2">
      <c r="B379" s="24"/>
    </row>
    <row r="380" spans="2:2">
      <c r="B380" s="24"/>
    </row>
    <row r="381" spans="2:2">
      <c r="B381" s="24"/>
    </row>
    <row r="382" spans="2:2">
      <c r="B382" s="24"/>
    </row>
    <row r="383" spans="2:2">
      <c r="B383" s="24"/>
    </row>
    <row r="384" spans="2:2">
      <c r="B384" s="24"/>
    </row>
    <row r="385" spans="2:2">
      <c r="B385" s="24"/>
    </row>
    <row r="386" spans="2:2">
      <c r="B386" s="24"/>
    </row>
    <row r="387" spans="2:2">
      <c r="B387" s="24"/>
    </row>
    <row r="388" spans="2:2">
      <c r="B388" s="24"/>
    </row>
    <row r="389" spans="2:2">
      <c r="B389" s="24"/>
    </row>
    <row r="390" spans="2:2">
      <c r="B390" s="24"/>
    </row>
    <row r="391" spans="2:2">
      <c r="B391" s="24"/>
    </row>
    <row r="392" spans="2:2">
      <c r="B392" s="24"/>
    </row>
    <row r="393" spans="2:2">
      <c r="B393" s="24"/>
    </row>
    <row r="394" spans="2:2">
      <c r="B394" s="24"/>
    </row>
    <row r="395" spans="2:2">
      <c r="B395" s="24"/>
    </row>
    <row r="396" spans="2:2">
      <c r="B396" s="24"/>
    </row>
    <row r="397" spans="2:2">
      <c r="B397" s="24"/>
    </row>
    <row r="398" spans="2:2">
      <c r="B398" s="24"/>
    </row>
    <row r="399" spans="2:2">
      <c r="B399" s="24"/>
    </row>
    <row r="400" spans="2:2">
      <c r="B400" s="24"/>
    </row>
    <row r="401" spans="2:2">
      <c r="B401" s="24"/>
    </row>
    <row r="402" spans="2:2">
      <c r="B402" s="24"/>
    </row>
    <row r="403" spans="2:2">
      <c r="B403" s="24"/>
    </row>
    <row r="404" spans="2:2">
      <c r="B404" s="24"/>
    </row>
    <row r="405" spans="2:2">
      <c r="B405" s="24"/>
    </row>
    <row r="406" spans="2:2">
      <c r="B406" s="24"/>
    </row>
    <row r="407" spans="2:2">
      <c r="B407" s="24"/>
    </row>
    <row r="408" spans="2:2">
      <c r="B408" s="24"/>
    </row>
    <row r="409" spans="2:2">
      <c r="B409" s="24"/>
    </row>
    <row r="410" spans="2:2">
      <c r="B410" s="24"/>
    </row>
    <row r="411" spans="2:2">
      <c r="B411" s="24"/>
    </row>
    <row r="412" spans="2:2">
      <c r="B412" s="24"/>
    </row>
    <row r="413" spans="2:2">
      <c r="B413" s="24"/>
    </row>
    <row r="414" spans="2:2">
      <c r="B414" s="24"/>
    </row>
    <row r="415" spans="2:2">
      <c r="B415" s="24"/>
    </row>
    <row r="416" spans="2:2">
      <c r="B416" s="24"/>
    </row>
    <row r="417" spans="2:2">
      <c r="B417" s="24"/>
    </row>
    <row r="418" spans="2:2">
      <c r="B418" s="24"/>
    </row>
    <row r="419" spans="2:2">
      <c r="B419" s="24"/>
    </row>
    <row r="420" spans="2:2">
      <c r="B420" s="24"/>
    </row>
    <row r="421" spans="2:2">
      <c r="B421" s="24"/>
    </row>
    <row r="422" spans="2:2">
      <c r="B422" s="24"/>
    </row>
    <row r="423" spans="2:2">
      <c r="B423" s="24"/>
    </row>
    <row r="424" spans="2:2">
      <c r="B424" s="24"/>
    </row>
    <row r="425" spans="2:2">
      <c r="B425" s="24"/>
    </row>
    <row r="426" spans="2:2">
      <c r="B426" s="24"/>
    </row>
    <row r="427" spans="2:2">
      <c r="B427" s="24"/>
    </row>
    <row r="428" spans="2:2">
      <c r="B428" s="24"/>
    </row>
    <row r="429" spans="2:2">
      <c r="B429" s="24"/>
    </row>
    <row r="430" spans="2:2">
      <c r="B430" s="24"/>
    </row>
    <row r="431" spans="2:2">
      <c r="B431" s="24"/>
    </row>
    <row r="432" spans="2:2">
      <c r="B432" s="24"/>
    </row>
    <row r="433" spans="2:2">
      <c r="B433" s="24"/>
    </row>
    <row r="434" spans="2:2">
      <c r="B434" s="24"/>
    </row>
    <row r="435" spans="2:2">
      <c r="B435" s="24"/>
    </row>
    <row r="436" spans="2:2">
      <c r="B436" s="24"/>
    </row>
    <row r="437" spans="2:2">
      <c r="B437" s="24"/>
    </row>
    <row r="438" spans="2:2">
      <c r="B438" s="24"/>
    </row>
    <row r="439" spans="2:2">
      <c r="B439" s="24"/>
    </row>
    <row r="440" spans="2:2">
      <c r="B440" s="24"/>
    </row>
    <row r="441" spans="2:2">
      <c r="B441" s="24"/>
    </row>
    <row r="442" spans="2:2">
      <c r="B442" s="24"/>
    </row>
    <row r="443" spans="2:2">
      <c r="B443" s="24"/>
    </row>
    <row r="444" spans="2:2">
      <c r="B444" s="24"/>
    </row>
    <row r="445" spans="2:2">
      <c r="B445" s="24"/>
    </row>
    <row r="446" spans="2:2">
      <c r="B446" s="24"/>
    </row>
    <row r="447" spans="2:2">
      <c r="B447" s="24"/>
    </row>
    <row r="448" spans="2:2">
      <c r="B448" s="24"/>
    </row>
    <row r="449" spans="2:2">
      <c r="B449" s="24"/>
    </row>
    <row r="450" spans="2:2">
      <c r="B450" s="24"/>
    </row>
    <row r="451" spans="2:2">
      <c r="B451" s="24"/>
    </row>
    <row r="452" spans="2:2">
      <c r="B452" s="24"/>
    </row>
    <row r="453" spans="2:2">
      <c r="B453" s="24"/>
    </row>
    <row r="454" spans="2:2">
      <c r="B454" s="24"/>
    </row>
    <row r="455" spans="2:2">
      <c r="B455" s="24"/>
    </row>
    <row r="456" spans="2:2">
      <c r="B456" s="24"/>
    </row>
    <row r="457" spans="2:2">
      <c r="B457" s="24"/>
    </row>
    <row r="458" spans="2:2">
      <c r="B458" s="24"/>
    </row>
    <row r="459" spans="2:2">
      <c r="B459" s="24"/>
    </row>
    <row r="460" spans="2:2">
      <c r="B460" s="24"/>
    </row>
    <row r="461" spans="2:2">
      <c r="B461" s="24"/>
    </row>
    <row r="462" spans="2:2">
      <c r="B462" s="24"/>
    </row>
    <row r="463" spans="2:2">
      <c r="B463" s="24"/>
    </row>
    <row r="464" spans="2:2">
      <c r="B464" s="24"/>
    </row>
    <row r="465" spans="2:2">
      <c r="B465" s="24"/>
    </row>
    <row r="466" spans="2:2">
      <c r="B466" s="24"/>
    </row>
    <row r="467" spans="2:2">
      <c r="B467" s="24"/>
    </row>
    <row r="468" spans="2:2">
      <c r="B468" s="24"/>
    </row>
    <row r="469" spans="2:2">
      <c r="B469" s="24"/>
    </row>
    <row r="470" spans="2:2">
      <c r="B470" s="24"/>
    </row>
    <row r="471" spans="2:2">
      <c r="B471" s="24"/>
    </row>
    <row r="472" spans="2:2">
      <c r="B472" s="24"/>
    </row>
    <row r="473" spans="2:2">
      <c r="B473" s="24"/>
    </row>
    <row r="474" spans="2:2">
      <c r="B474" s="24"/>
    </row>
    <row r="475" spans="2:2">
      <c r="B475" s="24"/>
    </row>
    <row r="476" spans="2:2">
      <c r="B476" s="24"/>
    </row>
    <row r="477" spans="2:2">
      <c r="B477" s="24"/>
    </row>
    <row r="478" spans="2:2">
      <c r="B478" s="24"/>
    </row>
    <row r="479" spans="2:2">
      <c r="B479" s="24"/>
    </row>
    <row r="480" spans="2:2">
      <c r="B480" s="24"/>
    </row>
    <row r="481" spans="2:2">
      <c r="B481" s="24"/>
    </row>
    <row r="482" spans="2:2">
      <c r="B482" s="24"/>
    </row>
    <row r="483" spans="2:2">
      <c r="B483" s="24"/>
    </row>
    <row r="484" spans="2:2">
      <c r="B484" s="24"/>
    </row>
    <row r="485" spans="2:2">
      <c r="B485" s="24"/>
    </row>
    <row r="486" spans="2:2">
      <c r="B486" s="24"/>
    </row>
    <row r="487" spans="2:2">
      <c r="B487" s="24"/>
    </row>
    <row r="488" spans="2:2">
      <c r="B488" s="24"/>
    </row>
    <row r="489" spans="2:2">
      <c r="B489" s="24"/>
    </row>
    <row r="490" spans="2:2">
      <c r="B490" s="24"/>
    </row>
    <row r="491" spans="2:2">
      <c r="B491" s="24"/>
    </row>
    <row r="492" spans="2:2">
      <c r="B492" s="24"/>
    </row>
    <row r="493" spans="2:2">
      <c r="B493" s="24"/>
    </row>
    <row r="494" spans="2:2">
      <c r="B494" s="24"/>
    </row>
    <row r="495" spans="2:2">
      <c r="B495" s="24"/>
    </row>
    <row r="496" spans="2:2">
      <c r="B496" s="24"/>
    </row>
    <row r="497" spans="2:2">
      <c r="B497" s="24"/>
    </row>
    <row r="498" spans="2:2">
      <c r="B498" s="24"/>
    </row>
    <row r="499" spans="2:2">
      <c r="B499" s="24"/>
    </row>
    <row r="500" spans="2:2">
      <c r="B500" s="24"/>
    </row>
    <row r="501" spans="2:2">
      <c r="B501" s="24"/>
    </row>
    <row r="502" spans="2:2">
      <c r="B502" s="24"/>
    </row>
    <row r="503" spans="2:2">
      <c r="B503" s="24"/>
    </row>
    <row r="504" spans="2:2">
      <c r="B504" s="24"/>
    </row>
    <row r="505" spans="2:2">
      <c r="B505" s="24"/>
    </row>
    <row r="506" spans="2:2">
      <c r="B506" s="24"/>
    </row>
    <row r="507" spans="2:2">
      <c r="B507" s="24"/>
    </row>
    <row r="508" spans="2:2">
      <c r="B508" s="24"/>
    </row>
    <row r="509" spans="2:2">
      <c r="B509" s="24"/>
    </row>
    <row r="510" spans="2:2">
      <c r="B510" s="24"/>
    </row>
    <row r="511" spans="2:2">
      <c r="B511" s="24"/>
    </row>
    <row r="512" spans="2:2">
      <c r="B512" s="24"/>
    </row>
    <row r="513" spans="2:2">
      <c r="B513" s="24"/>
    </row>
    <row r="514" spans="2:2">
      <c r="B514" s="24"/>
    </row>
    <row r="515" spans="2:2">
      <c r="B515" s="24"/>
    </row>
    <row r="516" spans="2:2">
      <c r="B516" s="24"/>
    </row>
    <row r="517" spans="2:2">
      <c r="B517" s="24"/>
    </row>
    <row r="518" spans="2:2">
      <c r="B518" s="24"/>
    </row>
    <row r="519" spans="2:2">
      <c r="B519" s="24"/>
    </row>
    <row r="520" spans="2:2">
      <c r="B520" s="24"/>
    </row>
    <row r="521" spans="2:2">
      <c r="B521" s="24"/>
    </row>
    <row r="522" spans="2:2">
      <c r="B522" s="24"/>
    </row>
    <row r="523" spans="2:2">
      <c r="B523" s="24"/>
    </row>
    <row r="524" spans="2:2">
      <c r="B524" s="24"/>
    </row>
    <row r="525" spans="2:2">
      <c r="B525" s="24"/>
    </row>
    <row r="526" spans="2:2">
      <c r="B526" s="24"/>
    </row>
    <row r="527" spans="2:2">
      <c r="B527" s="24"/>
    </row>
    <row r="528" spans="2:2">
      <c r="B528" s="24"/>
    </row>
    <row r="529" spans="2:2">
      <c r="B529" s="24"/>
    </row>
    <row r="530" spans="2:2">
      <c r="B530" s="24"/>
    </row>
    <row r="531" spans="2:2">
      <c r="B531" s="24"/>
    </row>
    <row r="532" spans="2:2">
      <c r="B532" s="24"/>
    </row>
    <row r="533" spans="2:2">
      <c r="B533" s="24"/>
    </row>
    <row r="534" spans="2:2">
      <c r="B534" s="24"/>
    </row>
    <row r="535" spans="2:2">
      <c r="B535" s="24"/>
    </row>
    <row r="536" spans="2:2">
      <c r="B536" s="24"/>
    </row>
    <row r="537" spans="2:2">
      <c r="B537" s="24"/>
    </row>
    <row r="538" spans="2:2">
      <c r="B538" s="24"/>
    </row>
    <row r="539" spans="2:2">
      <c r="B539" s="24"/>
    </row>
    <row r="540" spans="2:2">
      <c r="B540" s="24"/>
    </row>
    <row r="541" spans="2:2">
      <c r="B541" s="24"/>
    </row>
    <row r="542" spans="2:2">
      <c r="B542" s="24"/>
    </row>
    <row r="543" spans="2:2">
      <c r="B543" s="24"/>
    </row>
    <row r="544" spans="2:2">
      <c r="B544" s="24"/>
    </row>
    <row r="545" spans="2:2">
      <c r="B545" s="24"/>
    </row>
    <row r="546" spans="2:2">
      <c r="B546" s="24"/>
    </row>
    <row r="547" spans="2:2">
      <c r="B547" s="24"/>
    </row>
    <row r="548" spans="2:2">
      <c r="B548" s="24"/>
    </row>
    <row r="549" spans="2:2">
      <c r="B549" s="24"/>
    </row>
    <row r="550" spans="2:2">
      <c r="B550" s="24"/>
    </row>
    <row r="551" spans="2:2">
      <c r="B551" s="24"/>
    </row>
    <row r="552" spans="2:2">
      <c r="B552" s="24"/>
    </row>
    <row r="553" spans="2:2">
      <c r="B553" s="24"/>
    </row>
    <row r="554" spans="2:2">
      <c r="B554" s="24"/>
    </row>
    <row r="555" spans="2:2">
      <c r="B555" s="24"/>
    </row>
    <row r="556" spans="2:2">
      <c r="B556" s="24"/>
    </row>
    <row r="557" spans="2:2">
      <c r="B557" s="24"/>
    </row>
    <row r="558" spans="2:2">
      <c r="B558" s="24"/>
    </row>
    <row r="559" spans="2:2">
      <c r="B559" s="24"/>
    </row>
    <row r="560" spans="2:2">
      <c r="B560" s="24"/>
    </row>
    <row r="561" spans="2:2">
      <c r="B561" s="24"/>
    </row>
    <row r="562" spans="2:2">
      <c r="B562" s="24"/>
    </row>
    <row r="563" spans="2:2">
      <c r="B563" s="24"/>
    </row>
    <row r="564" spans="2:2">
      <c r="B564" s="24"/>
    </row>
    <row r="565" spans="2:2">
      <c r="B565" s="24"/>
    </row>
    <row r="566" spans="2:2">
      <c r="B566" s="24"/>
    </row>
    <row r="567" spans="2:2">
      <c r="B567" s="24"/>
    </row>
    <row r="568" spans="2:2">
      <c r="B568" s="24"/>
    </row>
    <row r="569" spans="2:2">
      <c r="B569" s="24"/>
    </row>
    <row r="570" spans="2:2">
      <c r="B570" s="24"/>
    </row>
    <row r="571" spans="2:2">
      <c r="B571" s="24"/>
    </row>
    <row r="572" spans="2:2">
      <c r="B572" s="24"/>
    </row>
    <row r="573" spans="2:2">
      <c r="B573" s="24"/>
    </row>
    <row r="574" spans="2:2">
      <c r="B574" s="24"/>
    </row>
    <row r="575" spans="2:2">
      <c r="B575" s="24"/>
    </row>
    <row r="576" spans="2:2">
      <c r="B576" s="24"/>
    </row>
    <row r="577" spans="2:2">
      <c r="B577" s="24"/>
    </row>
    <row r="578" spans="2:2">
      <c r="B578" s="24"/>
    </row>
    <row r="579" spans="2:2">
      <c r="B579" s="24"/>
    </row>
    <row r="580" spans="2:2">
      <c r="B580" s="24"/>
    </row>
    <row r="581" spans="2:2">
      <c r="B581" s="24"/>
    </row>
    <row r="582" spans="2:2">
      <c r="B582" s="24"/>
    </row>
    <row r="583" spans="2:2">
      <c r="B583" s="24"/>
    </row>
    <row r="584" spans="2:2">
      <c r="B584" s="24"/>
    </row>
    <row r="585" spans="2:2">
      <c r="B585" s="24"/>
    </row>
    <row r="586" spans="2:2">
      <c r="B586" s="24"/>
    </row>
    <row r="587" spans="2:2">
      <c r="B587" s="24"/>
    </row>
    <row r="588" spans="2:2">
      <c r="B588" s="24"/>
    </row>
    <row r="589" spans="2:2">
      <c r="B589" s="24"/>
    </row>
    <row r="590" spans="2:2">
      <c r="B590" s="24"/>
    </row>
    <row r="591" spans="2:2">
      <c r="B591" s="24"/>
    </row>
    <row r="592" spans="2:2">
      <c r="B592" s="24"/>
    </row>
    <row r="593" spans="2:2">
      <c r="B593" s="24"/>
    </row>
    <row r="594" spans="2:2">
      <c r="B594" s="24"/>
    </row>
    <row r="595" spans="2:2">
      <c r="B595" s="24"/>
    </row>
    <row r="596" spans="2:2">
      <c r="B596" s="24"/>
    </row>
    <row r="597" spans="2:2">
      <c r="B597" s="24"/>
    </row>
    <row r="598" spans="2:2">
      <c r="B598" s="24"/>
    </row>
    <row r="599" spans="2:2">
      <c r="B599" s="24"/>
    </row>
    <row r="600" spans="2:2">
      <c r="B600" s="24"/>
    </row>
    <row r="601" spans="2:2">
      <c r="B601" s="24"/>
    </row>
    <row r="602" spans="2:2">
      <c r="B602" s="24"/>
    </row>
    <row r="603" spans="2:2">
      <c r="B603" s="24"/>
    </row>
    <row r="604" spans="2:2">
      <c r="B604" s="24"/>
    </row>
    <row r="605" spans="2:2">
      <c r="B605" s="24"/>
    </row>
    <row r="606" spans="2:2">
      <c r="B606" s="24"/>
    </row>
    <row r="607" spans="2:2">
      <c r="B607" s="24"/>
    </row>
    <row r="608" spans="2:2">
      <c r="B608" s="24"/>
    </row>
    <row r="609" spans="2:2">
      <c r="B609" s="24"/>
    </row>
    <row r="610" spans="2:2">
      <c r="B610" s="24"/>
    </row>
    <row r="611" spans="2:2">
      <c r="B611" s="24"/>
    </row>
    <row r="612" spans="2:2">
      <c r="B612" s="24"/>
    </row>
    <row r="613" spans="2:2">
      <c r="B613" s="24"/>
    </row>
    <row r="614" spans="2:2">
      <c r="B614" s="24"/>
    </row>
    <row r="615" spans="2:2">
      <c r="B615" s="24"/>
    </row>
    <row r="616" spans="2:2">
      <c r="B616" s="24"/>
    </row>
    <row r="617" spans="2:2">
      <c r="B617" s="24"/>
    </row>
    <row r="618" spans="2:2">
      <c r="B618" s="24"/>
    </row>
    <row r="619" spans="2:2">
      <c r="B619" s="24"/>
    </row>
    <row r="620" spans="2:2">
      <c r="B620" s="24"/>
    </row>
    <row r="621" spans="2:2">
      <c r="B621" s="24"/>
    </row>
    <row r="622" spans="2:2">
      <c r="B622" s="24"/>
    </row>
    <row r="623" spans="2:2">
      <c r="B623" s="24"/>
    </row>
    <row r="624" spans="2:2">
      <c r="B624" s="24"/>
    </row>
    <row r="625" spans="2:2">
      <c r="B625" s="24"/>
    </row>
    <row r="626" spans="2:2">
      <c r="B626" s="24"/>
    </row>
    <row r="627" spans="2:2">
      <c r="B627" s="24"/>
    </row>
    <row r="628" spans="2:2">
      <c r="B628" s="24"/>
    </row>
    <row r="629" spans="2:2">
      <c r="B629" s="24"/>
    </row>
    <row r="630" spans="2:2">
      <c r="B630" s="24"/>
    </row>
    <row r="631" spans="2:2">
      <c r="B631" s="24"/>
    </row>
    <row r="632" spans="2:2">
      <c r="B632" s="24"/>
    </row>
    <row r="633" spans="2:2">
      <c r="B633" s="24"/>
    </row>
    <row r="634" spans="2:2">
      <c r="B634" s="24"/>
    </row>
    <row r="635" spans="2:2">
      <c r="B635" s="24"/>
    </row>
    <row r="636" spans="2:2">
      <c r="B636" s="24"/>
    </row>
    <row r="637" spans="2:2">
      <c r="B637" s="24"/>
    </row>
    <row r="638" spans="2:2">
      <c r="B638" s="24"/>
    </row>
    <row r="639" spans="2:2">
      <c r="B639" s="24"/>
    </row>
    <row r="640" spans="2:2">
      <c r="B640" s="24"/>
    </row>
    <row r="641" spans="2:2">
      <c r="B641" s="24"/>
    </row>
    <row r="642" spans="2:2">
      <c r="B642" s="24"/>
    </row>
    <row r="643" spans="2:2">
      <c r="B643" s="24"/>
    </row>
    <row r="644" spans="2:2">
      <c r="B644" s="24"/>
    </row>
    <row r="645" spans="2:2">
      <c r="B645" s="24"/>
    </row>
    <row r="646" spans="2:2">
      <c r="B646" s="24"/>
    </row>
    <row r="647" spans="2:2">
      <c r="B647" s="24"/>
    </row>
    <row r="648" spans="2:2">
      <c r="B648" s="24"/>
    </row>
    <row r="649" spans="2:2">
      <c r="B649" s="24"/>
    </row>
    <row r="650" spans="2:2">
      <c r="B650" s="24"/>
    </row>
    <row r="651" spans="2:2">
      <c r="B651" s="24"/>
    </row>
    <row r="652" spans="2:2">
      <c r="B652" s="24"/>
    </row>
    <row r="653" spans="2:2">
      <c r="B653" s="24"/>
    </row>
    <row r="654" spans="2:2">
      <c r="B654" s="24"/>
    </row>
    <row r="655" spans="2:2">
      <c r="B655" s="24"/>
    </row>
    <row r="656" spans="2:2">
      <c r="B656" s="24"/>
    </row>
    <row r="657" spans="2:2">
      <c r="B657" s="24"/>
    </row>
    <row r="658" spans="2:2">
      <c r="B658" s="24"/>
    </row>
    <row r="659" spans="2:2">
      <c r="B659" s="24"/>
    </row>
    <row r="660" spans="2:2">
      <c r="B660" s="24"/>
    </row>
    <row r="661" spans="2:2">
      <c r="B661" s="24"/>
    </row>
    <row r="662" spans="2:2">
      <c r="B662" s="24"/>
    </row>
    <row r="663" spans="2:2">
      <c r="B663" s="24"/>
    </row>
    <row r="664" spans="2:2">
      <c r="B664" s="24"/>
    </row>
    <row r="665" spans="2:2">
      <c r="B665" s="24"/>
    </row>
    <row r="666" spans="2:2">
      <c r="B666" s="24"/>
    </row>
    <row r="667" spans="2:2">
      <c r="B667" s="24"/>
    </row>
    <row r="668" spans="2:2">
      <c r="B668" s="24"/>
    </row>
    <row r="669" spans="2:2">
      <c r="B669" s="24"/>
    </row>
    <row r="670" spans="2:2">
      <c r="B670" s="24"/>
    </row>
    <row r="671" spans="2:2">
      <c r="B671" s="24"/>
    </row>
    <row r="672" spans="2:2">
      <c r="B672" s="24"/>
    </row>
    <row r="673" spans="2:2">
      <c r="B673" s="24"/>
    </row>
    <row r="674" spans="2:2">
      <c r="B674" s="24"/>
    </row>
    <row r="675" spans="2:2">
      <c r="B675" s="24"/>
    </row>
    <row r="676" spans="2:2">
      <c r="B676" s="24"/>
    </row>
    <row r="677" spans="2:2">
      <c r="B677" s="24"/>
    </row>
    <row r="678" spans="2:2">
      <c r="B678" s="24"/>
    </row>
    <row r="679" spans="2:2">
      <c r="B679" s="24"/>
    </row>
    <row r="680" spans="2:2">
      <c r="B680" s="24"/>
    </row>
    <row r="681" spans="2:2">
      <c r="B681" s="24"/>
    </row>
    <row r="682" spans="2:2">
      <c r="B682" s="24"/>
    </row>
    <row r="683" spans="2:2">
      <c r="B683" s="24"/>
    </row>
    <row r="684" spans="2:2">
      <c r="B684" s="24"/>
    </row>
    <row r="685" spans="2:2">
      <c r="B685" s="24"/>
    </row>
    <row r="686" spans="2:2">
      <c r="B686" s="24"/>
    </row>
    <row r="687" spans="2:2">
      <c r="B687" s="24"/>
    </row>
    <row r="688" spans="2:2">
      <c r="B688" s="24"/>
    </row>
    <row r="689" spans="2:2">
      <c r="B689" s="24"/>
    </row>
    <row r="690" spans="2:2">
      <c r="B690" s="24"/>
    </row>
    <row r="691" spans="2:2">
      <c r="B691" s="24"/>
    </row>
    <row r="692" spans="2:2">
      <c r="B692" s="24"/>
    </row>
    <row r="693" spans="2:2">
      <c r="B693" s="24"/>
    </row>
    <row r="694" spans="2:2">
      <c r="B694" s="24"/>
    </row>
    <row r="695" spans="2:2">
      <c r="B695" s="24"/>
    </row>
    <row r="696" spans="2:2">
      <c r="B696" s="24"/>
    </row>
    <row r="697" spans="2:2">
      <c r="B697" s="24"/>
    </row>
    <row r="698" spans="2:2">
      <c r="B698" s="24"/>
    </row>
    <row r="699" spans="2:2">
      <c r="B699" s="24"/>
    </row>
    <row r="700" spans="2:2">
      <c r="B700" s="24"/>
    </row>
    <row r="701" spans="2:2">
      <c r="B701" s="24"/>
    </row>
    <row r="702" spans="2:2">
      <c r="B702" s="24"/>
    </row>
    <row r="703" spans="2:2">
      <c r="B703" s="24"/>
    </row>
    <row r="704" spans="2:2">
      <c r="B704" s="24"/>
    </row>
    <row r="705" spans="2:2">
      <c r="B705" s="24"/>
    </row>
    <row r="706" spans="2:2">
      <c r="B706" s="24"/>
    </row>
    <row r="707" spans="2:2">
      <c r="B707" s="24"/>
    </row>
    <row r="708" spans="2:2">
      <c r="B708" s="24"/>
    </row>
    <row r="709" spans="2:2">
      <c r="B709" s="24"/>
    </row>
    <row r="710" spans="2:2">
      <c r="B710" s="24"/>
    </row>
    <row r="711" spans="2:2">
      <c r="B711" s="24"/>
    </row>
    <row r="712" spans="2:2">
      <c r="B712" s="24"/>
    </row>
    <row r="713" spans="2:2">
      <c r="B713" s="24"/>
    </row>
    <row r="714" spans="2:2">
      <c r="B714" s="24"/>
    </row>
    <row r="715" spans="2:2">
      <c r="B715" s="24"/>
    </row>
    <row r="716" spans="2:2">
      <c r="B716" s="24"/>
    </row>
    <row r="717" spans="2:2">
      <c r="B717" s="24"/>
    </row>
    <row r="718" spans="2:2">
      <c r="B718" s="24"/>
    </row>
    <row r="719" spans="2:2">
      <c r="B719" s="24"/>
    </row>
    <row r="720" spans="2:2">
      <c r="B720" s="24"/>
    </row>
    <row r="721" spans="2:2">
      <c r="B721" s="24"/>
    </row>
    <row r="722" spans="2:2">
      <c r="B722" s="24"/>
    </row>
    <row r="723" spans="2:2">
      <c r="B723" s="24"/>
    </row>
    <row r="724" spans="2:2">
      <c r="B724" s="24"/>
    </row>
    <row r="725" spans="2:2">
      <c r="B725" s="24"/>
    </row>
    <row r="726" spans="2:2">
      <c r="B726" s="24"/>
    </row>
    <row r="727" spans="2:2">
      <c r="B727" s="24"/>
    </row>
    <row r="728" spans="2:2">
      <c r="B728" s="24"/>
    </row>
    <row r="729" spans="2:2">
      <c r="B729" s="24"/>
    </row>
    <row r="730" spans="2:2">
      <c r="B730" s="24"/>
    </row>
    <row r="731" spans="2:2">
      <c r="B731" s="24"/>
    </row>
    <row r="732" spans="2:2">
      <c r="B732" s="24"/>
    </row>
    <row r="733" spans="2:2">
      <c r="B733" s="24"/>
    </row>
    <row r="734" spans="2:2">
      <c r="B734" s="24"/>
    </row>
    <row r="735" spans="2:2">
      <c r="B735" s="24"/>
    </row>
    <row r="736" spans="2:2">
      <c r="B736" s="24"/>
    </row>
    <row r="737" spans="2:2">
      <c r="B737" s="24"/>
    </row>
    <row r="738" spans="2:2">
      <c r="B738" s="24"/>
    </row>
    <row r="739" spans="2:2">
      <c r="B739" s="24"/>
    </row>
    <row r="740" spans="2:2">
      <c r="B740" s="24"/>
    </row>
    <row r="741" spans="2:2">
      <c r="B741" s="24"/>
    </row>
    <row r="742" spans="2:2">
      <c r="B742" s="24"/>
    </row>
    <row r="743" spans="2:2">
      <c r="B743" s="24"/>
    </row>
    <row r="744" spans="2:2">
      <c r="B744" s="24"/>
    </row>
    <row r="745" spans="2:2">
      <c r="B745" s="24"/>
    </row>
    <row r="746" spans="2:2">
      <c r="B746" s="24"/>
    </row>
    <row r="747" spans="2:2">
      <c r="B747" s="24"/>
    </row>
    <row r="748" spans="2:2">
      <c r="B748" s="24"/>
    </row>
    <row r="749" spans="2:2">
      <c r="B749" s="24"/>
    </row>
    <row r="750" spans="2:2">
      <c r="B750" s="24"/>
    </row>
    <row r="751" spans="2:2">
      <c r="B751" s="24"/>
    </row>
    <row r="752" spans="2:2">
      <c r="B752" s="24"/>
    </row>
    <row r="753" spans="2:2">
      <c r="B753" s="24"/>
    </row>
    <row r="754" spans="2:2">
      <c r="B754" s="24"/>
    </row>
    <row r="755" spans="2:2">
      <c r="B755" s="24"/>
    </row>
    <row r="756" spans="2:2">
      <c r="B756" s="24"/>
    </row>
    <row r="757" spans="2:2">
      <c r="B757" s="24"/>
    </row>
    <row r="758" spans="2:2">
      <c r="B758" s="24"/>
    </row>
    <row r="759" spans="2:2">
      <c r="B759" s="24"/>
    </row>
    <row r="760" spans="2:2">
      <c r="B760" s="24"/>
    </row>
    <row r="761" spans="2:2">
      <c r="B761" s="24"/>
    </row>
    <row r="762" spans="2:2">
      <c r="B762" s="24"/>
    </row>
    <row r="763" spans="2:2">
      <c r="B763" s="24"/>
    </row>
    <row r="764" spans="2:2">
      <c r="B764" s="24"/>
    </row>
    <row r="765" spans="2:2">
      <c r="B765" s="24"/>
    </row>
    <row r="766" spans="2:2">
      <c r="B766" s="24"/>
    </row>
    <row r="767" spans="2:2">
      <c r="B767" s="24"/>
    </row>
    <row r="768" spans="2:2">
      <c r="B768" s="24"/>
    </row>
    <row r="769" spans="2:2">
      <c r="B769" s="24"/>
    </row>
    <row r="770" spans="2:2">
      <c r="B770" s="24"/>
    </row>
    <row r="771" spans="2:2">
      <c r="B771" s="24"/>
    </row>
    <row r="772" spans="2:2">
      <c r="B772" s="24"/>
    </row>
    <row r="773" spans="2:2">
      <c r="B773" s="24"/>
    </row>
    <row r="774" spans="2:2">
      <c r="B774" s="24"/>
    </row>
    <row r="775" spans="2:2">
      <c r="B775" s="24"/>
    </row>
    <row r="776" spans="2:2">
      <c r="B776" s="24"/>
    </row>
    <row r="777" spans="2:2">
      <c r="B777" s="24"/>
    </row>
    <row r="778" spans="2:2">
      <c r="B778" s="24"/>
    </row>
    <row r="779" spans="2:2">
      <c r="B779" s="24"/>
    </row>
    <row r="780" spans="2:2">
      <c r="B780" s="24"/>
    </row>
    <row r="781" spans="2:2">
      <c r="B781" s="24"/>
    </row>
    <row r="782" spans="2:2">
      <c r="B782" s="24"/>
    </row>
    <row r="783" spans="2:2">
      <c r="B783" s="24"/>
    </row>
    <row r="784" spans="2:2">
      <c r="B784" s="24"/>
    </row>
    <row r="785" spans="2:2">
      <c r="B785" s="24"/>
    </row>
    <row r="786" spans="2:2">
      <c r="B786" s="24"/>
    </row>
    <row r="787" spans="2:2">
      <c r="B787" s="24"/>
    </row>
    <row r="788" spans="2:2">
      <c r="B788" s="24"/>
    </row>
    <row r="789" spans="2:2">
      <c r="B789" s="24"/>
    </row>
    <row r="790" spans="2:2">
      <c r="B790" s="24"/>
    </row>
    <row r="791" spans="2:2">
      <c r="B791" s="24"/>
    </row>
    <row r="792" spans="2:2">
      <c r="B792" s="24"/>
    </row>
    <row r="793" spans="2:2">
      <c r="B793" s="24"/>
    </row>
    <row r="794" spans="2:2">
      <c r="B794" s="24"/>
    </row>
    <row r="795" spans="2:2">
      <c r="B795" s="24"/>
    </row>
    <row r="796" spans="2:2">
      <c r="B796" s="24"/>
    </row>
    <row r="797" spans="2:2">
      <c r="B797" s="24"/>
    </row>
    <row r="798" spans="2:2">
      <c r="B798" s="24"/>
    </row>
    <row r="799" spans="2:2">
      <c r="B799" s="24"/>
    </row>
    <row r="800" spans="2:2">
      <c r="B800" s="24"/>
    </row>
    <row r="801" spans="2:2">
      <c r="B801" s="24"/>
    </row>
    <row r="802" spans="2:2">
      <c r="B802" s="24"/>
    </row>
    <row r="803" spans="2:2">
      <c r="B803" s="24"/>
    </row>
    <row r="804" spans="2:2">
      <c r="B804" s="24"/>
    </row>
    <row r="805" spans="2:2">
      <c r="B805" s="24"/>
    </row>
    <row r="806" spans="2:2">
      <c r="B806" s="24"/>
    </row>
    <row r="807" spans="2:2">
      <c r="B807" s="24"/>
    </row>
    <row r="808" spans="2:2">
      <c r="B808" s="24"/>
    </row>
    <row r="809" spans="2:2">
      <c r="B809" s="24"/>
    </row>
    <row r="810" spans="2:2">
      <c r="B810" s="24"/>
    </row>
    <row r="811" spans="2:2">
      <c r="B811" s="24"/>
    </row>
    <row r="812" spans="2:2">
      <c r="B812" s="24"/>
    </row>
    <row r="813" spans="2:2">
      <c r="B813" s="24"/>
    </row>
    <row r="814" spans="2:2">
      <c r="B814" s="24"/>
    </row>
    <row r="815" spans="2:2">
      <c r="B815" s="24"/>
    </row>
    <row r="816" spans="2:2">
      <c r="B816" s="24"/>
    </row>
    <row r="817" spans="2:2">
      <c r="B817" s="24"/>
    </row>
    <row r="818" spans="2:2">
      <c r="B818" s="24"/>
    </row>
    <row r="819" spans="2:2">
      <c r="B819" s="24"/>
    </row>
    <row r="820" spans="2:2">
      <c r="B820" s="24"/>
    </row>
    <row r="821" spans="2:2">
      <c r="B821" s="24"/>
    </row>
    <row r="822" spans="2:2">
      <c r="B822" s="24"/>
    </row>
    <row r="823" spans="2:2">
      <c r="B823" s="24"/>
    </row>
    <row r="824" spans="2:2">
      <c r="B824" s="24"/>
    </row>
    <row r="825" spans="2:2">
      <c r="B825" s="24"/>
    </row>
    <row r="826" spans="2:2">
      <c r="B826" s="24"/>
    </row>
    <row r="827" spans="2:2">
      <c r="B827" s="24"/>
    </row>
    <row r="828" spans="2:2">
      <c r="B828" s="24"/>
    </row>
    <row r="829" spans="2:2">
      <c r="B829" s="24"/>
    </row>
    <row r="830" spans="2:2">
      <c r="B830" s="24"/>
    </row>
    <row r="831" spans="2:2">
      <c r="B831" s="24"/>
    </row>
    <row r="832" spans="2:2">
      <c r="B832" s="24"/>
    </row>
    <row r="833" spans="2:2">
      <c r="B833" s="24"/>
    </row>
    <row r="834" spans="2:2">
      <c r="B834" s="24"/>
    </row>
    <row r="835" spans="2:2">
      <c r="B835" s="24"/>
    </row>
    <row r="836" spans="2:2">
      <c r="B836" s="24"/>
    </row>
    <row r="837" spans="2:2">
      <c r="B837" s="24"/>
    </row>
    <row r="838" spans="2:2">
      <c r="B838" s="24"/>
    </row>
    <row r="839" spans="2:2">
      <c r="B839" s="24"/>
    </row>
    <row r="840" spans="2:2">
      <c r="B840" s="24"/>
    </row>
    <row r="841" spans="2:2">
      <c r="B841" s="24"/>
    </row>
    <row r="842" spans="2:2">
      <c r="B842" s="24"/>
    </row>
    <row r="843" spans="2:2">
      <c r="B843" s="24"/>
    </row>
    <row r="844" spans="2:2">
      <c r="B844" s="24"/>
    </row>
    <row r="845" spans="2:2">
      <c r="B845" s="24"/>
    </row>
    <row r="846" spans="2:2">
      <c r="B846" s="24"/>
    </row>
    <row r="847" spans="2:2">
      <c r="B847" s="24"/>
    </row>
    <row r="848" spans="2:2">
      <c r="B848" s="24"/>
    </row>
    <row r="849" spans="2:2">
      <c r="B849" s="24"/>
    </row>
    <row r="850" spans="2:2">
      <c r="B850" s="24"/>
    </row>
    <row r="851" spans="2:2">
      <c r="B851" s="24"/>
    </row>
    <row r="852" spans="2:2">
      <c r="B852" s="24"/>
    </row>
    <row r="853" spans="2:2">
      <c r="B853" s="24"/>
    </row>
    <row r="854" spans="2:2">
      <c r="B854" s="24"/>
    </row>
    <row r="855" spans="2:2">
      <c r="B855" s="24"/>
    </row>
    <row r="856" spans="2:2">
      <c r="B856" s="24"/>
    </row>
    <row r="857" spans="2:2">
      <c r="B857" s="24"/>
    </row>
    <row r="858" spans="2:2">
      <c r="B858" s="24"/>
    </row>
    <row r="859" spans="2:2">
      <c r="B859" s="24"/>
    </row>
    <row r="860" spans="2:2">
      <c r="B860" s="24"/>
    </row>
    <row r="861" spans="2:2">
      <c r="B861" s="24"/>
    </row>
    <row r="862" spans="2:2">
      <c r="B862" s="24"/>
    </row>
    <row r="863" spans="2:2">
      <c r="B863" s="24"/>
    </row>
    <row r="864" spans="2:2">
      <c r="B864" s="24"/>
    </row>
    <row r="865" spans="2:2">
      <c r="B865" s="24"/>
    </row>
    <row r="866" spans="2:2">
      <c r="B866" s="24"/>
    </row>
    <row r="867" spans="2:2">
      <c r="B867" s="24"/>
    </row>
    <row r="868" spans="2:2">
      <c r="B868" s="24"/>
    </row>
    <row r="869" spans="2:2">
      <c r="B869" s="24"/>
    </row>
    <row r="870" spans="2:2">
      <c r="B870" s="24"/>
    </row>
    <row r="871" spans="2:2">
      <c r="B871" s="24"/>
    </row>
    <row r="872" spans="2:2">
      <c r="B872" s="24"/>
    </row>
    <row r="873" spans="2:2">
      <c r="B873" s="24"/>
    </row>
    <row r="874" spans="2:2">
      <c r="B874" s="24"/>
    </row>
    <row r="875" spans="2:2">
      <c r="B875" s="24"/>
    </row>
    <row r="876" spans="2:2">
      <c r="B876" s="24"/>
    </row>
    <row r="877" spans="2:2">
      <c r="B877" s="24"/>
    </row>
    <row r="878" spans="2:2">
      <c r="B878" s="24"/>
    </row>
    <row r="879" spans="2:2">
      <c r="B879" s="24"/>
    </row>
    <row r="880" spans="2:2">
      <c r="B880" s="24"/>
    </row>
    <row r="881" spans="2:2">
      <c r="B881" s="24"/>
    </row>
    <row r="882" spans="2:2">
      <c r="B882" s="24"/>
    </row>
    <row r="883" spans="2:2">
      <c r="B883" s="24"/>
    </row>
    <row r="884" spans="2:2">
      <c r="B884" s="24"/>
    </row>
    <row r="885" spans="2:2">
      <c r="B885" s="24"/>
    </row>
    <row r="886" spans="2:2">
      <c r="B886" s="24"/>
    </row>
    <row r="887" spans="2:2">
      <c r="B887" s="24"/>
    </row>
    <row r="888" spans="2:2">
      <c r="B888" s="24"/>
    </row>
    <row r="889" spans="2:2">
      <c r="B889" s="24"/>
    </row>
    <row r="890" spans="2:2">
      <c r="B890" s="24"/>
    </row>
    <row r="891" spans="2:2">
      <c r="B891" s="24"/>
    </row>
    <row r="892" spans="2:2">
      <c r="B892" s="24"/>
    </row>
    <row r="893" spans="2:2">
      <c r="B893" s="24"/>
    </row>
    <row r="894" spans="2:2">
      <c r="B894" s="24"/>
    </row>
    <row r="895" spans="2:2">
      <c r="B895" s="24"/>
    </row>
    <row r="896" spans="2:2">
      <c r="B896" s="24"/>
    </row>
    <row r="897" spans="2:2">
      <c r="B897" s="24"/>
    </row>
    <row r="898" spans="2:2">
      <c r="B898" s="24"/>
    </row>
    <row r="899" spans="2:2">
      <c r="B899" s="24"/>
    </row>
    <row r="900" spans="2:2">
      <c r="B900" s="24"/>
    </row>
    <row r="901" spans="2:2">
      <c r="B901" s="24"/>
    </row>
    <row r="902" spans="2:2">
      <c r="B902" s="24"/>
    </row>
    <row r="903" spans="2:2">
      <c r="B903" s="24"/>
    </row>
    <row r="904" spans="2:2">
      <c r="B904" s="24"/>
    </row>
    <row r="905" spans="2:2">
      <c r="B905" s="24"/>
    </row>
    <row r="906" spans="2:2">
      <c r="B906" s="24"/>
    </row>
    <row r="907" spans="2:2">
      <c r="B907" s="24"/>
    </row>
    <row r="908" spans="2:2">
      <c r="B908" s="24"/>
    </row>
    <row r="909" spans="2:2">
      <c r="B909" s="24"/>
    </row>
    <row r="910" spans="2:2">
      <c r="B910" s="24"/>
    </row>
    <row r="911" spans="2:2">
      <c r="B911" s="24"/>
    </row>
    <row r="912" spans="2:2">
      <c r="B912" s="24"/>
    </row>
    <row r="913" spans="2:2">
      <c r="B913" s="24"/>
    </row>
    <row r="914" spans="2:2">
      <c r="B914" s="24"/>
    </row>
    <row r="915" spans="2:2">
      <c r="B915" s="24"/>
    </row>
    <row r="916" spans="2:2">
      <c r="B916" s="24"/>
    </row>
    <row r="917" spans="2:2">
      <c r="B917" s="24"/>
    </row>
    <row r="918" spans="2:2">
      <c r="B918" s="24"/>
    </row>
    <row r="919" spans="2:2">
      <c r="B919" s="24"/>
    </row>
    <row r="920" spans="2:2">
      <c r="B920" s="24"/>
    </row>
    <row r="921" spans="2:2">
      <c r="B921" s="24"/>
    </row>
    <row r="922" spans="2:2">
      <c r="B922" s="24"/>
    </row>
    <row r="923" spans="2:2">
      <c r="B923" s="24"/>
    </row>
    <row r="924" spans="2:2">
      <c r="B924" s="24"/>
    </row>
    <row r="925" spans="2:2">
      <c r="B925" s="24"/>
    </row>
    <row r="926" spans="2:2">
      <c r="B926" s="24"/>
    </row>
    <row r="927" spans="2:2">
      <c r="B927" s="24"/>
    </row>
    <row r="928" spans="2:2">
      <c r="B928" s="24"/>
    </row>
    <row r="929" spans="2:2">
      <c r="B929" s="24"/>
    </row>
    <row r="930" spans="2:2">
      <c r="B930" s="24"/>
    </row>
    <row r="931" spans="2:2">
      <c r="B931" s="24"/>
    </row>
    <row r="932" spans="2:2">
      <c r="B932" s="24"/>
    </row>
    <row r="933" spans="2:2">
      <c r="B933" s="24"/>
    </row>
    <row r="934" spans="2:2">
      <c r="B934" s="24"/>
    </row>
    <row r="935" spans="2:2">
      <c r="B935" s="24"/>
    </row>
    <row r="936" spans="2:2">
      <c r="B936" s="24"/>
    </row>
    <row r="937" spans="2:2">
      <c r="B937" s="24"/>
    </row>
    <row r="938" spans="2:2">
      <c r="B938" s="24"/>
    </row>
    <row r="939" spans="2:2">
      <c r="B939" s="24"/>
    </row>
    <row r="940" spans="2:2">
      <c r="B940" s="24"/>
    </row>
    <row r="941" spans="2:2">
      <c r="B941" s="24"/>
    </row>
    <row r="942" spans="2:2">
      <c r="B942" s="24"/>
    </row>
    <row r="943" spans="2:2">
      <c r="B943" s="24"/>
    </row>
    <row r="944" spans="2:2">
      <c r="B944" s="24"/>
    </row>
    <row r="945" spans="2:2">
      <c r="B945" s="24"/>
    </row>
    <row r="946" spans="2:2">
      <c r="B946" s="24"/>
    </row>
    <row r="947" spans="2:2">
      <c r="B947" s="24"/>
    </row>
    <row r="948" spans="2:2">
      <c r="B948" s="24"/>
    </row>
    <row r="949" spans="2:2">
      <c r="B949" s="24"/>
    </row>
    <row r="950" spans="2:2">
      <c r="B950" s="24"/>
    </row>
    <row r="951" spans="2:2">
      <c r="B951" s="24"/>
    </row>
    <row r="952" spans="2:2">
      <c r="B952" s="24"/>
    </row>
    <row r="953" spans="2:2">
      <c r="B953" s="24"/>
    </row>
    <row r="954" spans="2:2">
      <c r="B954" s="24"/>
    </row>
    <row r="955" spans="2:2">
      <c r="B955" s="24"/>
    </row>
    <row r="956" spans="2:2">
      <c r="B956" s="24"/>
    </row>
    <row r="957" spans="2:2">
      <c r="B957" s="24"/>
    </row>
    <row r="958" spans="2:2">
      <c r="B958" s="24"/>
    </row>
    <row r="959" spans="2:2">
      <c r="B959" s="24"/>
    </row>
    <row r="960" spans="2:2">
      <c r="B960" s="24"/>
    </row>
    <row r="961" spans="2:2">
      <c r="B961" s="24"/>
    </row>
    <row r="962" spans="2:2">
      <c r="B962" s="24"/>
    </row>
    <row r="963" spans="2:2">
      <c r="B963" s="24"/>
    </row>
    <row r="964" spans="2:2">
      <c r="B964" s="24"/>
    </row>
    <row r="965" spans="2:2">
      <c r="B965" s="24"/>
    </row>
    <row r="966" spans="2:2">
      <c r="B966" s="24"/>
    </row>
    <row r="967" spans="2:2">
      <c r="B967" s="24"/>
    </row>
    <row r="968" spans="2:2">
      <c r="B968" s="24"/>
    </row>
    <row r="969" spans="2:2">
      <c r="B969" s="24"/>
    </row>
    <row r="970" spans="2:2">
      <c r="B970" s="24"/>
    </row>
    <row r="971" spans="2:2">
      <c r="B971" s="24"/>
    </row>
    <row r="972" spans="2:2">
      <c r="B972" s="24"/>
    </row>
    <row r="973" spans="2:2">
      <c r="B973" s="24"/>
    </row>
    <row r="974" spans="2:2">
      <c r="B974" s="24"/>
    </row>
    <row r="975" spans="2:2">
      <c r="B975" s="24"/>
    </row>
    <row r="976" spans="2:2">
      <c r="B976" s="24"/>
    </row>
    <row r="977" spans="2:2">
      <c r="B977" s="24"/>
    </row>
    <row r="978" spans="2:2">
      <c r="B978" s="24"/>
    </row>
    <row r="979" spans="2:2">
      <c r="B979" s="24"/>
    </row>
    <row r="980" spans="2:2">
      <c r="B980" s="24"/>
    </row>
    <row r="981" spans="2:2">
      <c r="B981" s="24"/>
    </row>
    <row r="982" spans="2:2">
      <c r="B982" s="24"/>
    </row>
    <row r="983" spans="2:2">
      <c r="B983" s="24"/>
    </row>
    <row r="984" spans="2:2">
      <c r="B984" s="24"/>
    </row>
    <row r="985" spans="2:2">
      <c r="B985" s="24"/>
    </row>
    <row r="986" spans="2:2">
      <c r="B986" s="24"/>
    </row>
    <row r="987" spans="2:2">
      <c r="B987" s="24"/>
    </row>
    <row r="988" spans="2:2">
      <c r="B988" s="24"/>
    </row>
    <row r="989" spans="2:2">
      <c r="B989" s="24"/>
    </row>
    <row r="990" spans="2:2">
      <c r="B990" s="24"/>
    </row>
    <row r="991" spans="2:2">
      <c r="B991" s="24"/>
    </row>
    <row r="992" spans="2:2">
      <c r="B992" s="24"/>
    </row>
    <row r="993" spans="2:2">
      <c r="B993" s="24"/>
    </row>
    <row r="994" spans="2:2">
      <c r="B994" s="24"/>
    </row>
    <row r="995" spans="2:2">
      <c r="B995" s="24"/>
    </row>
    <row r="996" spans="2:2">
      <c r="B996" s="24"/>
    </row>
    <row r="997" spans="2:2">
      <c r="B997" s="24"/>
    </row>
    <row r="998" spans="2:2">
      <c r="B998" s="24"/>
    </row>
    <row r="999" spans="2:2">
      <c r="B999" s="24"/>
    </row>
    <row r="1000" spans="2:2">
      <c r="B1000" s="24"/>
    </row>
    <row r="1001" spans="2:2">
      <c r="B1001" s="24"/>
    </row>
    <row r="1002" spans="2:2">
      <c r="B1002" s="24"/>
    </row>
    <row r="1003" spans="2:2">
      <c r="B1003" s="24"/>
    </row>
    <row r="1004" spans="2:2">
      <c r="B1004" s="24"/>
    </row>
    <row r="1005" spans="2:2">
      <c r="B1005" s="24"/>
    </row>
    <row r="1006" spans="2:2">
      <c r="B1006" s="24"/>
    </row>
    <row r="1007" spans="2:2">
      <c r="B1007" s="24"/>
    </row>
    <row r="1008" spans="2:2">
      <c r="B1008" s="24"/>
    </row>
    <row r="1009" spans="2:2">
      <c r="B1009" s="24"/>
    </row>
    <row r="1010" spans="2:2">
      <c r="B1010" s="24"/>
    </row>
    <row r="1011" spans="2:2">
      <c r="B1011" s="24"/>
    </row>
    <row r="1012" spans="2:2">
      <c r="B1012" s="24"/>
    </row>
    <row r="1013" spans="2:2">
      <c r="B1013" s="24"/>
    </row>
    <row r="1014" spans="2:2">
      <c r="B1014" s="24"/>
    </row>
    <row r="1015" spans="2:2">
      <c r="B1015" s="24"/>
    </row>
    <row r="1016" spans="2:2">
      <c r="B1016" s="24"/>
    </row>
    <row r="1017" spans="2:2">
      <c r="B1017" s="24"/>
    </row>
    <row r="1018" spans="2:2">
      <c r="B1018" s="24"/>
    </row>
    <row r="1019" spans="2:2">
      <c r="B1019" s="24"/>
    </row>
    <row r="1020" spans="2:2">
      <c r="B1020" s="24"/>
    </row>
    <row r="1021" spans="2:2">
      <c r="B1021" s="24"/>
    </row>
    <row r="1022" spans="2:2">
      <c r="B1022" s="24"/>
    </row>
    <row r="1023" spans="2:2">
      <c r="B1023" s="24"/>
    </row>
    <row r="1024" spans="2:2">
      <c r="B1024" s="24"/>
    </row>
    <row r="1025" spans="2:2">
      <c r="B1025" s="24"/>
    </row>
    <row r="1026" spans="2:2">
      <c r="B1026" s="24"/>
    </row>
    <row r="1027" spans="2:2">
      <c r="B1027" s="24"/>
    </row>
    <row r="1028" spans="2:2">
      <c r="B1028" s="24"/>
    </row>
    <row r="1029" spans="2:2">
      <c r="B1029" s="24"/>
    </row>
    <row r="1030" spans="2:2">
      <c r="B1030" s="24"/>
    </row>
    <row r="1031" spans="2:2">
      <c r="B1031" s="24"/>
    </row>
    <row r="1032" spans="2:2">
      <c r="B1032" s="24"/>
    </row>
    <row r="1033" spans="2:2">
      <c r="B1033" s="24"/>
    </row>
    <row r="1034" spans="2:2">
      <c r="B1034" s="24"/>
    </row>
    <row r="1035" spans="2:2">
      <c r="B1035" s="24"/>
    </row>
    <row r="1036" spans="2:2">
      <c r="B1036" s="24"/>
    </row>
    <row r="1037" spans="2:2">
      <c r="B1037" s="24"/>
    </row>
    <row r="1038" spans="2:2">
      <c r="B1038" s="24"/>
    </row>
    <row r="1039" spans="2:2">
      <c r="B1039" s="24"/>
    </row>
    <row r="1040" spans="2:2">
      <c r="B1040" s="24"/>
    </row>
    <row r="1041" spans="2:2">
      <c r="B1041" s="24"/>
    </row>
    <row r="1042" spans="2:2">
      <c r="B1042" s="24"/>
    </row>
    <row r="1043" spans="2:2">
      <c r="B1043" s="24"/>
    </row>
    <row r="1044" spans="2:2">
      <c r="B1044" s="24"/>
    </row>
    <row r="1045" spans="2:2">
      <c r="B1045" s="24"/>
    </row>
    <row r="1046" spans="2:2">
      <c r="B1046" s="24"/>
    </row>
    <row r="1047" spans="2:2">
      <c r="B1047" s="24"/>
    </row>
    <row r="1048" spans="2:2">
      <c r="B1048" s="24"/>
    </row>
    <row r="1049" spans="2:2">
      <c r="B1049" s="24"/>
    </row>
    <row r="1050" spans="2:2">
      <c r="B1050" s="24"/>
    </row>
    <row r="1051" spans="2:2">
      <c r="B1051" s="24"/>
    </row>
    <row r="1052" spans="2:2">
      <c r="B1052" s="24"/>
    </row>
    <row r="1053" spans="2:2">
      <c r="B1053" s="24"/>
    </row>
    <row r="1054" spans="2:2">
      <c r="B1054" s="24"/>
    </row>
    <row r="1055" spans="2:2">
      <c r="B1055" s="24"/>
    </row>
    <row r="1056" spans="2:2">
      <c r="B1056" s="24"/>
    </row>
    <row r="1057" spans="2:2">
      <c r="B1057" s="24"/>
    </row>
    <row r="1058" spans="2:2">
      <c r="B1058" s="24"/>
    </row>
    <row r="1059" spans="2:2">
      <c r="B1059" s="24"/>
    </row>
    <row r="1060" spans="2:2">
      <c r="B1060" s="24"/>
    </row>
    <row r="1061" spans="2:2">
      <c r="B1061" s="24"/>
    </row>
    <row r="1062" spans="2:2">
      <c r="B1062" s="24"/>
    </row>
    <row r="1063" spans="2:2">
      <c r="B1063" s="24"/>
    </row>
    <row r="1064" spans="2:2">
      <c r="B1064" s="24"/>
    </row>
    <row r="1065" spans="2:2">
      <c r="B1065" s="24"/>
    </row>
    <row r="1066" spans="2:2">
      <c r="B1066" s="24"/>
    </row>
    <row r="1067" spans="2:2">
      <c r="B1067" s="24"/>
    </row>
    <row r="1068" spans="2:2">
      <c r="B1068" s="24"/>
    </row>
    <row r="1069" spans="2:2">
      <c r="B1069" s="24"/>
    </row>
    <row r="1070" spans="2:2">
      <c r="B1070" s="24"/>
    </row>
    <row r="1071" spans="2:2">
      <c r="B1071" s="24"/>
    </row>
    <row r="1072" spans="2:2">
      <c r="B1072" s="24"/>
    </row>
    <row r="1073" spans="2:2">
      <c r="B1073" s="24"/>
    </row>
    <row r="1074" spans="2:2">
      <c r="B1074" s="24"/>
    </row>
    <row r="1075" spans="2:2">
      <c r="B1075" s="24"/>
    </row>
    <row r="1076" spans="2:2">
      <c r="B1076" s="24"/>
    </row>
    <row r="1077" spans="2:2">
      <c r="B1077" s="24"/>
    </row>
    <row r="1078" spans="2:2">
      <c r="B1078" s="24"/>
    </row>
    <row r="1079" spans="2:2">
      <c r="B1079" s="24"/>
    </row>
    <row r="1080" spans="2:2">
      <c r="B1080" s="24"/>
    </row>
    <row r="1081" spans="2:2">
      <c r="B1081" s="24"/>
    </row>
    <row r="1082" spans="2:2">
      <c r="B1082" s="24"/>
    </row>
    <row r="1083" spans="2:2">
      <c r="B1083" s="24"/>
    </row>
    <row r="1084" spans="2:2">
      <c r="B1084" s="24"/>
    </row>
    <row r="1085" spans="2:2">
      <c r="B1085" s="24"/>
    </row>
    <row r="1086" spans="2:2">
      <c r="B1086" s="24"/>
    </row>
    <row r="1087" spans="2:2">
      <c r="B1087" s="24"/>
    </row>
    <row r="1088" spans="2:2">
      <c r="B1088" s="24"/>
    </row>
    <row r="1089" spans="2:2">
      <c r="B1089" s="24"/>
    </row>
    <row r="1090" spans="2:2">
      <c r="B1090" s="24"/>
    </row>
    <row r="1091" spans="2:2">
      <c r="B1091" s="24"/>
    </row>
    <row r="1092" spans="2:2">
      <c r="B1092" s="24"/>
    </row>
    <row r="1093" spans="2:2">
      <c r="B1093" s="24"/>
    </row>
    <row r="1094" spans="2:2">
      <c r="B1094" s="24"/>
    </row>
    <row r="1095" spans="2:2">
      <c r="B1095" s="24"/>
    </row>
    <row r="1096" spans="2:2">
      <c r="B1096" s="24"/>
    </row>
    <row r="1097" spans="2:2">
      <c r="B1097" s="24"/>
    </row>
    <row r="1098" spans="2:2">
      <c r="B1098" s="24"/>
    </row>
    <row r="1099" spans="2:2">
      <c r="B1099" s="24"/>
    </row>
    <row r="1100" spans="2:2">
      <c r="B1100" s="24"/>
    </row>
    <row r="1101" spans="2:2">
      <c r="B1101" s="24"/>
    </row>
    <row r="1102" spans="2:2">
      <c r="B1102" s="24"/>
    </row>
    <row r="1103" spans="2:2">
      <c r="B1103" s="24"/>
    </row>
    <row r="1104" spans="2:2">
      <c r="B1104" s="24"/>
    </row>
    <row r="1105" spans="2:2">
      <c r="B1105" s="24"/>
    </row>
    <row r="1106" spans="2:2">
      <c r="B1106" s="24"/>
    </row>
    <row r="1107" spans="2:2">
      <c r="B1107" s="24"/>
    </row>
    <row r="1108" spans="2:2">
      <c r="B1108" s="24"/>
    </row>
    <row r="1109" spans="2:2">
      <c r="B1109" s="24"/>
    </row>
    <row r="1110" spans="2:2">
      <c r="B1110" s="24"/>
    </row>
    <row r="1111" spans="2:2">
      <c r="B1111" s="24"/>
    </row>
    <row r="1112" spans="2:2">
      <c r="B1112" s="24"/>
    </row>
    <row r="1113" spans="2:2">
      <c r="B1113" s="24"/>
    </row>
    <row r="1114" spans="2:2">
      <c r="B1114" s="24"/>
    </row>
    <row r="1115" spans="2:2">
      <c r="B1115" s="24"/>
    </row>
    <row r="1116" spans="2:2">
      <c r="B1116" s="24"/>
    </row>
    <row r="1117" spans="2:2">
      <c r="B1117" s="24"/>
    </row>
    <row r="1118" spans="2:2">
      <c r="B1118" s="24"/>
    </row>
    <row r="1119" spans="2:2">
      <c r="B1119" s="24"/>
    </row>
    <row r="1120" spans="2:2">
      <c r="B1120" s="24"/>
    </row>
    <row r="1121" spans="2:2">
      <c r="B1121" s="24"/>
    </row>
    <row r="1122" spans="2:2">
      <c r="B1122" s="24"/>
    </row>
    <row r="1123" spans="2:2">
      <c r="B1123" s="24"/>
    </row>
    <row r="1124" spans="2:2">
      <c r="B1124" s="24"/>
    </row>
    <row r="1125" spans="2:2">
      <c r="B1125" s="24"/>
    </row>
    <row r="1126" spans="2:2">
      <c r="B1126" s="24"/>
    </row>
    <row r="1127" spans="2:2">
      <c r="B1127" s="24"/>
    </row>
    <row r="1128" spans="2:2">
      <c r="B1128" s="24"/>
    </row>
    <row r="1129" spans="2:2">
      <c r="B1129" s="24"/>
    </row>
    <row r="1130" spans="2:2">
      <c r="B1130" s="24"/>
    </row>
    <row r="1131" spans="2:2">
      <c r="B1131" s="24"/>
    </row>
    <row r="1132" spans="2:2">
      <c r="B1132" s="24"/>
    </row>
    <row r="1133" spans="2:2">
      <c r="B1133" s="24"/>
    </row>
    <row r="1134" spans="2:2">
      <c r="B1134" s="24"/>
    </row>
    <row r="1135" spans="2:2">
      <c r="B1135" s="24"/>
    </row>
    <row r="1136" spans="2:2">
      <c r="B1136" s="24"/>
    </row>
    <row r="1137" spans="2:2">
      <c r="B1137" s="24"/>
    </row>
    <row r="1138" spans="2:2">
      <c r="B1138" s="24"/>
    </row>
    <row r="1139" spans="2:2">
      <c r="B1139" s="24"/>
    </row>
    <row r="1140" spans="2:2">
      <c r="B1140" s="24"/>
    </row>
    <row r="1141" spans="2:2">
      <c r="B1141" s="24"/>
    </row>
    <row r="1142" spans="2:2">
      <c r="B1142" s="24"/>
    </row>
    <row r="1143" spans="2:2">
      <c r="B1143" s="24"/>
    </row>
    <row r="1144" spans="2:2">
      <c r="B1144" s="24"/>
    </row>
    <row r="1145" spans="2:2">
      <c r="B1145" s="24"/>
    </row>
    <row r="1146" spans="2:2">
      <c r="B1146" s="24"/>
    </row>
    <row r="1147" spans="2:2">
      <c r="B1147" s="24"/>
    </row>
    <row r="1148" spans="2:2">
      <c r="B1148" s="24"/>
    </row>
    <row r="1149" spans="2:2">
      <c r="B1149" s="24"/>
    </row>
    <row r="1150" spans="2:2">
      <c r="B1150" s="24"/>
    </row>
    <row r="1151" spans="2:2">
      <c r="B1151" s="24"/>
    </row>
    <row r="1152" spans="2:2">
      <c r="B1152" s="24"/>
    </row>
    <row r="1153" spans="2:2">
      <c r="B1153" s="24"/>
    </row>
    <row r="1154" spans="2:2">
      <c r="B1154" s="24"/>
    </row>
    <row r="1155" spans="2:2">
      <c r="B1155" s="24"/>
    </row>
    <row r="1156" spans="2:2">
      <c r="B1156" s="24"/>
    </row>
    <row r="1157" spans="2:2">
      <c r="B1157" s="24"/>
    </row>
    <row r="1158" spans="2:2">
      <c r="B1158" s="24"/>
    </row>
    <row r="1159" spans="2:2">
      <c r="B1159" s="24"/>
    </row>
    <row r="1160" spans="2:2">
      <c r="B1160" s="24"/>
    </row>
    <row r="1161" spans="2:2">
      <c r="B1161" s="24"/>
    </row>
    <row r="1162" spans="2:2">
      <c r="B1162" s="24"/>
    </row>
    <row r="1163" spans="2:2">
      <c r="B1163" s="24"/>
    </row>
    <row r="1164" spans="2:2">
      <c r="B1164" s="24"/>
    </row>
    <row r="1165" spans="2:2">
      <c r="B1165" s="24"/>
    </row>
    <row r="1166" spans="2:2">
      <c r="B1166" s="24"/>
    </row>
    <row r="1167" spans="2:2">
      <c r="B1167" s="24"/>
    </row>
    <row r="1168" spans="2:2">
      <c r="B1168" s="24"/>
    </row>
    <row r="1169" spans="2:2">
      <c r="B1169" s="24"/>
    </row>
    <row r="1170" spans="2:2">
      <c r="B1170" s="24"/>
    </row>
    <row r="1171" spans="2:2">
      <c r="B1171" s="24"/>
    </row>
    <row r="1172" spans="2:2">
      <c r="B1172" s="24"/>
    </row>
    <row r="1173" spans="2:2">
      <c r="B1173" s="24"/>
    </row>
    <row r="1174" spans="2:2">
      <c r="B1174" s="24"/>
    </row>
    <row r="1175" spans="2:2">
      <c r="B1175" s="24"/>
    </row>
    <row r="1176" spans="2:2">
      <c r="B1176" s="24"/>
    </row>
    <row r="1177" spans="2:2">
      <c r="B1177" s="24"/>
    </row>
    <row r="1178" spans="2:2">
      <c r="B1178" s="24"/>
    </row>
    <row r="1179" spans="2:2">
      <c r="B1179" s="24"/>
    </row>
    <row r="1180" spans="2:2">
      <c r="B1180" s="24"/>
    </row>
    <row r="1181" spans="2:2">
      <c r="B1181" s="24"/>
    </row>
    <row r="1182" spans="2:2">
      <c r="B1182" s="24"/>
    </row>
    <row r="1183" spans="2:2">
      <c r="B1183" s="24"/>
    </row>
    <row r="1184" spans="2:2">
      <c r="B1184" s="24"/>
    </row>
    <row r="1185" spans="2:2">
      <c r="B1185" s="24"/>
    </row>
    <row r="1186" spans="2:2">
      <c r="B1186" s="24"/>
    </row>
    <row r="1187" spans="2:2">
      <c r="B1187" s="24"/>
    </row>
    <row r="1188" spans="2:2">
      <c r="B1188" s="24"/>
    </row>
    <row r="1189" spans="2:2">
      <c r="B1189" s="24"/>
    </row>
    <row r="1190" spans="2:2">
      <c r="B1190" s="24"/>
    </row>
    <row r="1191" spans="2:2">
      <c r="B1191" s="24"/>
    </row>
    <row r="1192" spans="2:2">
      <c r="B1192" s="24"/>
    </row>
    <row r="1193" spans="2:2">
      <c r="B1193" s="24"/>
    </row>
    <row r="1194" spans="2:2">
      <c r="B1194" s="24"/>
    </row>
    <row r="1195" spans="2:2">
      <c r="B1195" s="24"/>
    </row>
    <row r="1196" spans="2:2">
      <c r="B1196" s="24"/>
    </row>
    <row r="1197" spans="2:2">
      <c r="B1197" s="24"/>
    </row>
    <row r="1198" spans="2:2">
      <c r="B1198" s="24"/>
    </row>
    <row r="1199" spans="2:2">
      <c r="B1199" s="24"/>
    </row>
    <row r="1200" spans="2:2">
      <c r="B1200" s="24"/>
    </row>
    <row r="1201" spans="2:2">
      <c r="B1201" s="24"/>
    </row>
    <row r="1202" spans="2:2">
      <c r="B1202" s="24"/>
    </row>
    <row r="1203" spans="2:2">
      <c r="B1203" s="24"/>
    </row>
    <row r="1204" spans="2:2">
      <c r="B1204" s="24"/>
    </row>
    <row r="1205" spans="2:2">
      <c r="B1205" s="24"/>
    </row>
    <row r="1206" spans="2:2">
      <c r="B1206" s="24"/>
    </row>
    <row r="1207" spans="2:2">
      <c r="B1207" s="24"/>
    </row>
    <row r="1208" spans="2:2">
      <c r="B1208" s="24"/>
    </row>
    <row r="1209" spans="2:2">
      <c r="B1209" s="24"/>
    </row>
    <row r="1210" spans="2:2">
      <c r="B1210" s="24"/>
    </row>
    <row r="1211" spans="2:2">
      <c r="B1211" s="24"/>
    </row>
    <row r="1212" spans="2:2">
      <c r="B1212" s="24"/>
    </row>
    <row r="1213" spans="2:2">
      <c r="B1213" s="24"/>
    </row>
    <row r="1214" spans="2:2">
      <c r="B1214" s="24"/>
    </row>
    <row r="1215" spans="2:2">
      <c r="B1215" s="24"/>
    </row>
    <row r="1216" spans="2:2">
      <c r="B1216" s="24"/>
    </row>
    <row r="1217" spans="2:2">
      <c r="B1217" s="24"/>
    </row>
    <row r="1218" spans="2:2">
      <c r="B1218" s="24"/>
    </row>
    <row r="1219" spans="2:2">
      <c r="B1219" s="24"/>
    </row>
    <row r="1220" spans="2:2">
      <c r="B1220" s="24"/>
    </row>
    <row r="1221" spans="2:2">
      <c r="B1221" s="24"/>
    </row>
    <row r="1222" spans="2:2">
      <c r="B1222" s="24"/>
    </row>
    <row r="1223" spans="2:2">
      <c r="B1223" s="24"/>
    </row>
    <row r="1224" spans="2:2">
      <c r="B1224" s="24"/>
    </row>
    <row r="1225" spans="2:2">
      <c r="B1225" s="24"/>
    </row>
    <row r="1226" spans="2:2">
      <c r="B1226" s="24"/>
    </row>
    <row r="1227" spans="2:2">
      <c r="B1227" s="24"/>
    </row>
    <row r="1228" spans="2:2">
      <c r="B1228" s="24"/>
    </row>
    <row r="1229" spans="2:2">
      <c r="B1229" s="24"/>
    </row>
    <row r="1230" spans="2:2">
      <c r="B1230" s="24"/>
    </row>
    <row r="1231" spans="2:2">
      <c r="B1231" s="24"/>
    </row>
    <row r="1232" spans="2:2">
      <c r="B1232" s="24"/>
    </row>
    <row r="1233" spans="2:2">
      <c r="B1233" s="24"/>
    </row>
    <row r="1234" spans="2:2">
      <c r="B1234" s="24"/>
    </row>
    <row r="1235" spans="2:2">
      <c r="B1235" s="24"/>
    </row>
    <row r="1236" spans="2:2">
      <c r="B1236" s="24"/>
    </row>
    <row r="1237" spans="2:2">
      <c r="B1237" s="24"/>
    </row>
    <row r="1238" spans="2:2">
      <c r="B1238" s="24"/>
    </row>
    <row r="1239" spans="2:2">
      <c r="B1239" s="24"/>
    </row>
    <row r="1240" spans="2:2">
      <c r="B1240" s="24"/>
    </row>
    <row r="1241" spans="2:2">
      <c r="B1241" s="24"/>
    </row>
    <row r="1242" spans="2:2">
      <c r="B1242" s="24"/>
    </row>
    <row r="1243" spans="2:2">
      <c r="B1243" s="24"/>
    </row>
    <row r="1244" spans="2:2">
      <c r="B1244" s="24"/>
    </row>
    <row r="1245" spans="2:2">
      <c r="B1245" s="24"/>
    </row>
    <row r="1246" spans="2:2">
      <c r="B1246" s="24"/>
    </row>
    <row r="1247" spans="2:2">
      <c r="B1247" s="24"/>
    </row>
    <row r="1248" spans="2:2">
      <c r="B1248" s="24"/>
    </row>
    <row r="1249" spans="2:2">
      <c r="B1249" s="24"/>
    </row>
    <row r="1250" spans="2:2">
      <c r="B1250" s="24"/>
    </row>
    <row r="1251" spans="2:2">
      <c r="B1251" s="24"/>
    </row>
    <row r="1252" spans="2:2">
      <c r="B1252" s="24"/>
    </row>
    <row r="1253" spans="2:2">
      <c r="B1253" s="24"/>
    </row>
    <row r="1254" spans="2:2">
      <c r="B1254" s="24"/>
    </row>
    <row r="1255" spans="2:2">
      <c r="B1255" s="24"/>
    </row>
    <row r="1256" spans="2:2">
      <c r="B1256" s="24"/>
    </row>
    <row r="1257" spans="2:2">
      <c r="B1257" s="24"/>
    </row>
    <row r="1258" spans="2:2">
      <c r="B1258" s="24"/>
    </row>
    <row r="1259" spans="2:2">
      <c r="B1259" s="24"/>
    </row>
    <row r="1260" spans="2:2">
      <c r="B1260" s="24"/>
    </row>
    <row r="1261" spans="2:2">
      <c r="B1261" s="24"/>
    </row>
    <row r="1262" spans="2:2">
      <c r="B1262" s="24"/>
    </row>
    <row r="1263" spans="2:2">
      <c r="B1263" s="24"/>
    </row>
    <row r="1264" spans="2:2">
      <c r="B1264" s="24"/>
    </row>
    <row r="1265" spans="2:2">
      <c r="B1265" s="24"/>
    </row>
    <row r="1266" spans="2:2">
      <c r="B1266" s="24"/>
    </row>
    <row r="1267" spans="2:2">
      <c r="B1267" s="24"/>
    </row>
    <row r="1268" spans="2:2">
      <c r="B1268" s="24"/>
    </row>
    <row r="1269" spans="2:2">
      <c r="B1269" s="24"/>
    </row>
    <row r="1270" spans="2:2">
      <c r="B1270" s="24"/>
    </row>
    <row r="1271" spans="2:2">
      <c r="B1271" s="24"/>
    </row>
    <row r="1272" spans="2:2">
      <c r="B1272" s="24"/>
    </row>
    <row r="1273" spans="2:2">
      <c r="B1273" s="24"/>
    </row>
    <row r="1274" spans="2:2">
      <c r="B1274" s="24"/>
    </row>
    <row r="1275" spans="2:2">
      <c r="B1275" s="24"/>
    </row>
    <row r="1276" spans="2:2">
      <c r="B1276" s="24"/>
    </row>
    <row r="1277" spans="2:2">
      <c r="B1277" s="24"/>
    </row>
    <row r="1278" spans="2:2">
      <c r="B1278" s="24"/>
    </row>
    <row r="1279" spans="2:2">
      <c r="B1279" s="24"/>
    </row>
    <row r="1280" spans="2:2">
      <c r="B1280" s="24"/>
    </row>
    <row r="1281" spans="2:2">
      <c r="B1281" s="24"/>
    </row>
    <row r="1282" spans="2:2">
      <c r="B1282" s="24"/>
    </row>
    <row r="1283" spans="2:2">
      <c r="B1283" s="24"/>
    </row>
    <row r="1284" spans="2:2">
      <c r="B1284" s="24"/>
    </row>
    <row r="1285" spans="2:2">
      <c r="B1285" s="24"/>
    </row>
    <row r="1286" spans="2:2">
      <c r="B1286" s="24"/>
    </row>
    <row r="1287" spans="2:2">
      <c r="B1287" s="24"/>
    </row>
    <row r="1288" spans="2:2">
      <c r="B1288" s="24"/>
    </row>
    <row r="1289" spans="2:2">
      <c r="B1289" s="24"/>
    </row>
    <row r="1290" spans="2:2">
      <c r="B1290" s="24"/>
    </row>
    <row r="1291" spans="2:2">
      <c r="B1291" s="24"/>
    </row>
    <row r="1292" spans="2:2">
      <c r="B1292" s="24"/>
    </row>
    <row r="1293" spans="2:2">
      <c r="B1293" s="24"/>
    </row>
    <row r="1294" spans="2:2">
      <c r="B1294" s="24"/>
    </row>
    <row r="1295" spans="2:2">
      <c r="B1295" s="24"/>
    </row>
    <row r="1296" spans="2:2">
      <c r="B1296" s="24"/>
    </row>
    <row r="1297" spans="2:2">
      <c r="B1297" s="24"/>
    </row>
    <row r="1298" spans="2:2">
      <c r="B1298" s="24"/>
    </row>
    <row r="1299" spans="2:2">
      <c r="B1299" s="24"/>
    </row>
    <row r="1300" spans="2:2">
      <c r="B1300" s="24"/>
    </row>
    <row r="1301" spans="2:2">
      <c r="B1301" s="24"/>
    </row>
    <row r="1302" spans="2:2">
      <c r="B1302" s="24"/>
    </row>
    <row r="1303" spans="2:2">
      <c r="B1303" s="24"/>
    </row>
    <row r="1304" spans="2:2">
      <c r="B1304" s="24"/>
    </row>
    <row r="1305" spans="2:2">
      <c r="B1305" s="24"/>
    </row>
    <row r="1306" spans="2:2">
      <c r="B1306" s="24"/>
    </row>
    <row r="1307" spans="2:2">
      <c r="B1307" s="24"/>
    </row>
    <row r="1308" spans="2:2">
      <c r="B1308" s="24"/>
    </row>
    <row r="1309" spans="2:2">
      <c r="B1309" s="24"/>
    </row>
    <row r="1310" spans="2:2">
      <c r="B1310" s="24"/>
    </row>
    <row r="1311" spans="2:2">
      <c r="B1311" s="24"/>
    </row>
    <row r="1312" spans="2:2">
      <c r="B1312" s="24"/>
    </row>
    <row r="1313" spans="2:2">
      <c r="B1313" s="24"/>
    </row>
    <row r="1314" spans="2:2">
      <c r="B1314" s="24"/>
    </row>
    <row r="1315" spans="2:2">
      <c r="B1315" s="24"/>
    </row>
    <row r="1316" spans="2:2">
      <c r="B1316" s="24"/>
    </row>
    <row r="1317" spans="2:2">
      <c r="B1317" s="24"/>
    </row>
    <row r="1318" spans="2:2">
      <c r="B1318" s="24"/>
    </row>
    <row r="1319" spans="2:2">
      <c r="B1319" s="24"/>
    </row>
    <row r="1320" spans="2:2">
      <c r="B1320" s="24"/>
    </row>
    <row r="1321" spans="2:2">
      <c r="B1321" s="24"/>
    </row>
    <row r="1322" spans="2:2">
      <c r="B1322" s="24"/>
    </row>
    <row r="1323" spans="2:2">
      <c r="B1323" s="24"/>
    </row>
    <row r="1324" spans="2:2">
      <c r="B1324" s="24"/>
    </row>
    <row r="1325" spans="2:2">
      <c r="B1325" s="24"/>
    </row>
    <row r="1326" spans="2:2">
      <c r="B1326" s="24"/>
    </row>
    <row r="1327" spans="2:2">
      <c r="B1327" s="24"/>
    </row>
    <row r="1328" spans="2:2">
      <c r="B1328" s="24"/>
    </row>
    <row r="1329" spans="2:2">
      <c r="B1329" s="24"/>
    </row>
    <row r="1330" spans="2:2">
      <c r="B1330" s="24"/>
    </row>
    <row r="1331" spans="2:2">
      <c r="B1331" s="24"/>
    </row>
    <row r="1332" spans="2:2">
      <c r="B1332" s="24"/>
    </row>
    <row r="1333" spans="2:2">
      <c r="B1333" s="24"/>
    </row>
    <row r="1334" spans="2:2">
      <c r="B1334" s="24"/>
    </row>
    <row r="1335" spans="2:2">
      <c r="B1335" s="24"/>
    </row>
    <row r="1336" spans="2:2">
      <c r="B1336" s="24"/>
    </row>
    <row r="1337" spans="2:2">
      <c r="B1337" s="24"/>
    </row>
    <row r="1338" spans="2:2">
      <c r="B1338" s="24"/>
    </row>
    <row r="1339" spans="2:2">
      <c r="B1339" s="24"/>
    </row>
    <row r="1340" spans="2:2">
      <c r="B1340" s="24"/>
    </row>
    <row r="1341" spans="2:2">
      <c r="B1341" s="24"/>
    </row>
    <row r="1342" spans="2:2">
      <c r="B1342" s="24"/>
    </row>
    <row r="1343" spans="2:2">
      <c r="B1343" s="24"/>
    </row>
    <row r="1344" spans="2:2">
      <c r="B1344" s="24"/>
    </row>
    <row r="1345" spans="2:2">
      <c r="B1345" s="24"/>
    </row>
    <row r="1346" spans="2:2">
      <c r="B1346" s="24"/>
    </row>
    <row r="1347" spans="2:2">
      <c r="B1347" s="24"/>
    </row>
    <row r="1348" spans="2:2">
      <c r="B1348" s="24"/>
    </row>
    <row r="1349" spans="2:2">
      <c r="B1349" s="24"/>
    </row>
    <row r="1350" spans="2:2">
      <c r="B1350" s="24"/>
    </row>
    <row r="1351" spans="2:2">
      <c r="B1351" s="24"/>
    </row>
    <row r="1352" spans="2:2">
      <c r="B1352" s="24"/>
    </row>
    <row r="1353" spans="2:2">
      <c r="B1353" s="24"/>
    </row>
    <row r="1354" spans="2:2">
      <c r="B1354" s="24"/>
    </row>
    <row r="1355" spans="2:2">
      <c r="B1355" s="24"/>
    </row>
    <row r="1356" spans="2:2">
      <c r="B1356" s="24"/>
    </row>
    <row r="1357" spans="2:2">
      <c r="B1357" s="24"/>
    </row>
    <row r="1358" spans="2:2">
      <c r="B1358" s="24"/>
    </row>
    <row r="1359" spans="2:2">
      <c r="B1359" s="24"/>
    </row>
    <row r="1360" spans="2:2">
      <c r="B1360" s="24"/>
    </row>
    <row r="1361" spans="2:2">
      <c r="B1361" s="24"/>
    </row>
    <row r="1362" spans="2:2">
      <c r="B1362" s="24"/>
    </row>
    <row r="1363" spans="2:2">
      <c r="B1363" s="24"/>
    </row>
    <row r="1364" spans="2:2">
      <c r="B1364" s="24"/>
    </row>
    <row r="1365" spans="2:2">
      <c r="B1365" s="24"/>
    </row>
    <row r="1366" spans="2:2">
      <c r="B1366" s="24"/>
    </row>
    <row r="1367" spans="2:2">
      <c r="B1367" s="24"/>
    </row>
    <row r="1368" spans="2:2">
      <c r="B1368" s="24"/>
    </row>
    <row r="1369" spans="2:2">
      <c r="B1369" s="24"/>
    </row>
    <row r="1370" spans="2:2">
      <c r="B1370" s="24"/>
    </row>
    <row r="1371" spans="2:2">
      <c r="B1371" s="24"/>
    </row>
    <row r="1372" spans="2:2">
      <c r="B1372" s="24"/>
    </row>
    <row r="1373" spans="2:2">
      <c r="B1373" s="24"/>
    </row>
    <row r="1374" spans="2:2">
      <c r="B1374" s="24"/>
    </row>
    <row r="1375" spans="2:2">
      <c r="B1375" s="24"/>
    </row>
    <row r="1376" spans="2:2">
      <c r="B1376" s="24"/>
    </row>
    <row r="1377" spans="2:2">
      <c r="B1377" s="24"/>
    </row>
    <row r="1378" spans="2:2">
      <c r="B1378" s="24"/>
    </row>
    <row r="1379" spans="2:2">
      <c r="B1379" s="24"/>
    </row>
    <row r="1380" spans="2:2">
      <c r="B1380" s="24"/>
    </row>
    <row r="1381" spans="2:2">
      <c r="B1381" s="24"/>
    </row>
    <row r="1382" spans="2:2">
      <c r="B1382" s="24"/>
    </row>
    <row r="1383" spans="2:2">
      <c r="B1383" s="24"/>
    </row>
    <row r="1384" spans="2:2">
      <c r="B1384" s="24"/>
    </row>
    <row r="1385" spans="2:2">
      <c r="B1385" s="24"/>
    </row>
    <row r="1386" spans="2:2">
      <c r="B1386" s="24"/>
    </row>
    <row r="1387" spans="2:2">
      <c r="B1387" s="24"/>
    </row>
    <row r="1388" spans="2:2">
      <c r="B1388" s="24"/>
    </row>
    <row r="1389" spans="2:2">
      <c r="B1389" s="24"/>
    </row>
    <row r="1390" spans="2:2">
      <c r="B1390" s="24"/>
    </row>
    <row r="1391" spans="2:2">
      <c r="B1391" s="24"/>
    </row>
    <row r="1392" spans="2:2">
      <c r="B1392" s="24"/>
    </row>
    <row r="1393" spans="2:2">
      <c r="B1393" s="24"/>
    </row>
    <row r="1394" spans="2:2">
      <c r="B1394" s="24"/>
    </row>
    <row r="1395" spans="2:2">
      <c r="B1395" s="24"/>
    </row>
    <row r="1396" spans="2:2">
      <c r="B1396" s="24"/>
    </row>
    <row r="1397" spans="2:2">
      <c r="B1397" s="24"/>
    </row>
    <row r="1398" spans="2:2">
      <c r="B1398" s="24"/>
    </row>
    <row r="1399" spans="2:2">
      <c r="B1399" s="24"/>
    </row>
    <row r="1400" spans="2:2">
      <c r="B1400" s="24"/>
    </row>
    <row r="1401" spans="2:2">
      <c r="B1401" s="24"/>
    </row>
    <row r="1402" spans="2:2">
      <c r="B1402" s="24"/>
    </row>
    <row r="1403" spans="2:2">
      <c r="B1403" s="24"/>
    </row>
    <row r="1404" spans="2:2">
      <c r="B1404" s="24"/>
    </row>
    <row r="1405" spans="2:2">
      <c r="B1405" s="24"/>
    </row>
    <row r="1406" spans="2:2">
      <c r="B1406" s="24"/>
    </row>
    <row r="1407" spans="2:2">
      <c r="B1407" s="24"/>
    </row>
    <row r="1408" spans="2:2">
      <c r="B1408" s="24"/>
    </row>
    <row r="1409" spans="2:2">
      <c r="B1409" s="24"/>
    </row>
    <row r="1410" spans="2:2">
      <c r="B1410" s="24"/>
    </row>
    <row r="1411" spans="2:2">
      <c r="B1411" s="24"/>
    </row>
    <row r="1412" spans="2:2">
      <c r="B1412" s="24"/>
    </row>
    <row r="1413" spans="2:2">
      <c r="B1413" s="24"/>
    </row>
    <row r="1414" spans="2:2">
      <c r="B1414" s="24"/>
    </row>
    <row r="1415" spans="2:2">
      <c r="B1415" s="24"/>
    </row>
    <row r="1416" spans="2:2">
      <c r="B1416" s="24"/>
    </row>
    <row r="1417" spans="2:2">
      <c r="B1417" s="24"/>
    </row>
    <row r="1418" spans="2:2">
      <c r="B1418" s="24"/>
    </row>
    <row r="1419" spans="2:2">
      <c r="B1419" s="24"/>
    </row>
    <row r="1420" spans="2:2">
      <c r="B1420" s="24"/>
    </row>
    <row r="1421" spans="2:2">
      <c r="B1421" s="24"/>
    </row>
    <row r="1422" spans="2:2">
      <c r="B1422" s="24"/>
    </row>
    <row r="1423" spans="2:2">
      <c r="B1423" s="24"/>
    </row>
    <row r="1424" spans="2:2">
      <c r="B1424" s="24"/>
    </row>
    <row r="1425" spans="2:2">
      <c r="B1425" s="24"/>
    </row>
    <row r="1426" spans="2:2">
      <c r="B1426" s="24"/>
    </row>
    <row r="1427" spans="2:2">
      <c r="B1427" s="24"/>
    </row>
    <row r="1428" spans="2:2">
      <c r="B1428" s="24"/>
    </row>
    <row r="1429" spans="2:2">
      <c r="B1429" s="24"/>
    </row>
    <row r="1430" spans="2:2">
      <c r="B1430" s="24"/>
    </row>
    <row r="1431" spans="2:2">
      <c r="B1431" s="24"/>
    </row>
    <row r="1432" spans="2:2">
      <c r="B1432" s="24"/>
    </row>
    <row r="1433" spans="2:2">
      <c r="B1433" s="24"/>
    </row>
    <row r="1434" spans="2:2">
      <c r="B1434" s="24"/>
    </row>
    <row r="1435" spans="2:2">
      <c r="B1435" s="24"/>
    </row>
    <row r="1436" spans="2:2">
      <c r="B1436" s="24"/>
    </row>
    <row r="1437" spans="2:2">
      <c r="B1437" s="24"/>
    </row>
    <row r="1438" spans="2:2">
      <c r="B1438" s="24"/>
    </row>
    <row r="1439" spans="2:2">
      <c r="B1439" s="24"/>
    </row>
    <row r="1440" spans="2:2">
      <c r="B1440" s="24"/>
    </row>
    <row r="1441" spans="2:2">
      <c r="B1441" s="24"/>
    </row>
    <row r="1442" spans="2:2">
      <c r="B1442" s="24"/>
    </row>
    <row r="1443" spans="2:2">
      <c r="B1443" s="24"/>
    </row>
    <row r="1444" spans="2:2">
      <c r="B1444" s="24"/>
    </row>
    <row r="1445" spans="2:2">
      <c r="B1445" s="24"/>
    </row>
    <row r="1446" spans="2:2">
      <c r="B1446" s="24"/>
    </row>
    <row r="1447" spans="2:2">
      <c r="B1447" s="24"/>
    </row>
    <row r="1448" spans="2:2">
      <c r="B1448" s="24"/>
    </row>
    <row r="1449" spans="2:2">
      <c r="B1449" s="24"/>
    </row>
    <row r="1450" spans="2:2">
      <c r="B1450" s="24"/>
    </row>
    <row r="1451" spans="2:2">
      <c r="B1451" s="24"/>
    </row>
    <row r="1452" spans="2:2">
      <c r="B1452" s="24"/>
    </row>
    <row r="1453" spans="2:2">
      <c r="B1453" s="24"/>
    </row>
    <row r="1454" spans="2:2">
      <c r="B1454" s="24"/>
    </row>
    <row r="1455" spans="2:2">
      <c r="B1455" s="24"/>
    </row>
    <row r="1456" spans="2:2">
      <c r="B1456" s="24"/>
    </row>
    <row r="1457" spans="2:2">
      <c r="B1457" s="24"/>
    </row>
    <row r="1458" spans="2:2">
      <c r="B1458" s="24"/>
    </row>
    <row r="1459" spans="2:2">
      <c r="B1459" s="24"/>
    </row>
    <row r="1460" spans="2:2">
      <c r="B1460" s="24"/>
    </row>
    <row r="1461" spans="2:2">
      <c r="B1461" s="24"/>
    </row>
    <row r="1462" spans="2:2">
      <c r="B1462" s="24"/>
    </row>
    <row r="1463" spans="2:2">
      <c r="B1463" s="24"/>
    </row>
    <row r="1464" spans="2:2">
      <c r="B1464" s="24"/>
    </row>
    <row r="1465" spans="2:2">
      <c r="B1465" s="24"/>
    </row>
    <row r="1466" spans="2:2">
      <c r="B1466" s="24"/>
    </row>
    <row r="1467" spans="2:2">
      <c r="B1467" s="24"/>
    </row>
    <row r="1468" spans="2:2">
      <c r="B1468" s="24"/>
    </row>
    <row r="1469" spans="2:2">
      <c r="B1469" s="24"/>
    </row>
    <row r="1470" spans="2:2">
      <c r="B1470" s="24"/>
    </row>
    <row r="1471" spans="2:2">
      <c r="B1471" s="24"/>
    </row>
    <row r="1472" spans="2:2">
      <c r="B1472" s="24"/>
    </row>
    <row r="1473" spans="2:2">
      <c r="B1473" s="24"/>
    </row>
    <row r="1474" spans="2:2">
      <c r="B1474" s="24"/>
    </row>
    <row r="1475" spans="2:2">
      <c r="B1475" s="24"/>
    </row>
    <row r="1476" spans="2:2">
      <c r="B1476" s="24"/>
    </row>
    <row r="1477" spans="2:2">
      <c r="B1477" s="24"/>
    </row>
    <row r="1478" spans="2:2">
      <c r="B1478" s="24"/>
    </row>
    <row r="1479" spans="2:2">
      <c r="B1479" s="24"/>
    </row>
    <row r="1480" spans="2:2">
      <c r="B1480" s="24"/>
    </row>
    <row r="1481" spans="2:2">
      <c r="B1481" s="24"/>
    </row>
    <row r="1482" spans="2:2">
      <c r="B1482" s="24"/>
    </row>
    <row r="1483" spans="2:2">
      <c r="B1483" s="24"/>
    </row>
    <row r="1484" spans="2:2">
      <c r="B1484" s="24"/>
    </row>
    <row r="1485" spans="2:2">
      <c r="B1485" s="24"/>
    </row>
    <row r="1486" spans="2:2">
      <c r="B1486" s="24"/>
    </row>
    <row r="1487" spans="2:2">
      <c r="B1487" s="24"/>
    </row>
    <row r="1488" spans="2:2">
      <c r="B1488" s="24"/>
    </row>
    <row r="1489" spans="2:2">
      <c r="B1489" s="24"/>
    </row>
    <row r="1490" spans="2:2">
      <c r="B1490" s="24"/>
    </row>
    <row r="1491" spans="2:2">
      <c r="B1491" s="24"/>
    </row>
    <row r="1492" spans="2:2">
      <c r="B1492" s="24"/>
    </row>
    <row r="1493" spans="2:2">
      <c r="B1493" s="24"/>
    </row>
    <row r="1494" spans="2:2">
      <c r="B1494" s="24"/>
    </row>
    <row r="1495" spans="2:2">
      <c r="B1495" s="24"/>
    </row>
    <row r="1496" spans="2:2">
      <c r="B1496" s="24"/>
    </row>
    <row r="1497" spans="2:2">
      <c r="B1497" s="24"/>
    </row>
    <row r="1498" spans="2:2">
      <c r="B1498" s="24"/>
    </row>
    <row r="1499" spans="2:2">
      <c r="B1499" s="24"/>
    </row>
    <row r="1500" spans="2:2">
      <c r="B1500" s="24"/>
    </row>
    <row r="1501" spans="2:2">
      <c r="B1501" s="24"/>
    </row>
    <row r="1502" spans="2:2">
      <c r="B1502" s="24"/>
    </row>
    <row r="1503" spans="2:2">
      <c r="B1503" s="24"/>
    </row>
    <row r="1504" spans="2:2">
      <c r="B1504" s="24"/>
    </row>
    <row r="1505" spans="2:2">
      <c r="B1505" s="24"/>
    </row>
    <row r="1506" spans="2:2">
      <c r="B1506" s="24"/>
    </row>
    <row r="1507" spans="2:2">
      <c r="B1507" s="24"/>
    </row>
    <row r="1508" spans="2:2">
      <c r="B1508" s="24"/>
    </row>
    <row r="1509" spans="2:2">
      <c r="B1509" s="24"/>
    </row>
    <row r="1510" spans="2:2">
      <c r="B1510" s="24"/>
    </row>
    <row r="1511" spans="2:2">
      <c r="B1511" s="24"/>
    </row>
    <row r="1512" spans="2:2">
      <c r="B1512" s="24"/>
    </row>
    <row r="1513" spans="2:2">
      <c r="B1513" s="24"/>
    </row>
    <row r="1514" spans="2:2">
      <c r="B1514" s="24"/>
    </row>
    <row r="1515" spans="2:2">
      <c r="B1515" s="24"/>
    </row>
    <row r="1516" spans="2:2">
      <c r="B1516" s="24"/>
    </row>
    <row r="1517" spans="2:2">
      <c r="B1517" s="24"/>
    </row>
    <row r="1518" spans="2:2">
      <c r="B1518" s="24"/>
    </row>
    <row r="1519" spans="2:2">
      <c r="B1519" s="24"/>
    </row>
    <row r="1520" spans="2:2">
      <c r="B1520" s="24"/>
    </row>
    <row r="1521" spans="2:2">
      <c r="B1521" s="24"/>
    </row>
    <row r="1522" spans="2:2">
      <c r="B1522" s="24"/>
    </row>
    <row r="1523" spans="2:2">
      <c r="B1523" s="24"/>
    </row>
    <row r="1524" spans="2:2">
      <c r="B1524" s="24"/>
    </row>
    <row r="1525" spans="2:2">
      <c r="B1525" s="24"/>
    </row>
    <row r="1526" spans="2:2">
      <c r="B1526" s="24"/>
    </row>
    <row r="1527" spans="2:2">
      <c r="B1527" s="24"/>
    </row>
    <row r="1528" spans="2:2">
      <c r="B1528" s="24"/>
    </row>
    <row r="1529" spans="2:2">
      <c r="B1529" s="24"/>
    </row>
    <row r="1530" spans="2:2">
      <c r="B1530" s="24"/>
    </row>
    <row r="1531" spans="2:2">
      <c r="B1531" s="24"/>
    </row>
    <row r="1532" spans="2:2">
      <c r="B1532" s="24"/>
    </row>
    <row r="1533" spans="2:2">
      <c r="B1533" s="24"/>
    </row>
    <row r="1534" spans="2:2">
      <c r="B1534" s="24"/>
    </row>
    <row r="1535" spans="2:2">
      <c r="B1535" s="24"/>
    </row>
    <row r="1536" spans="2:2">
      <c r="B1536" s="24"/>
    </row>
    <row r="1537" spans="2:2">
      <c r="B1537" s="24"/>
    </row>
    <row r="1538" spans="2:2">
      <c r="B1538" s="24"/>
    </row>
    <row r="1539" spans="2:2">
      <c r="B1539" s="24"/>
    </row>
    <row r="1540" spans="2:2">
      <c r="B1540" s="24"/>
    </row>
    <row r="1541" spans="2:2">
      <c r="B1541" s="24"/>
    </row>
    <row r="1542" spans="2:2">
      <c r="B1542" s="24"/>
    </row>
    <row r="1543" spans="2:2">
      <c r="B1543" s="24"/>
    </row>
    <row r="1544" spans="2:2">
      <c r="B1544" s="24"/>
    </row>
    <row r="1545" spans="2:2">
      <c r="B1545" s="24"/>
    </row>
    <row r="1546" spans="2:2">
      <c r="B1546" s="24"/>
    </row>
    <row r="1547" spans="2:2">
      <c r="B1547" s="24"/>
    </row>
    <row r="1548" spans="2:2">
      <c r="B1548" s="24"/>
    </row>
    <row r="1549" spans="2:2">
      <c r="B1549" s="24"/>
    </row>
    <row r="1550" spans="2:2">
      <c r="B1550" s="24"/>
    </row>
    <row r="1551" spans="2:2">
      <c r="B1551" s="24"/>
    </row>
    <row r="1552" spans="2:2">
      <c r="B1552" s="24"/>
    </row>
    <row r="1553" spans="2:2">
      <c r="B1553" s="24"/>
    </row>
    <row r="1554" spans="2:2">
      <c r="B1554" s="24"/>
    </row>
    <row r="1555" spans="2:2">
      <c r="B1555" s="24"/>
    </row>
    <row r="1556" spans="2:2">
      <c r="B1556" s="24"/>
    </row>
    <row r="1557" spans="2:2">
      <c r="B1557" s="24"/>
    </row>
    <row r="1558" spans="2:2">
      <c r="B1558" s="24"/>
    </row>
    <row r="1559" spans="2:2">
      <c r="B1559" s="24"/>
    </row>
    <row r="1560" spans="2:2">
      <c r="B1560" s="24"/>
    </row>
    <row r="1561" spans="2:2">
      <c r="B1561" s="24"/>
    </row>
    <row r="1562" spans="2:2">
      <c r="B1562" s="24"/>
    </row>
    <row r="1563" spans="2:2">
      <c r="B1563" s="24"/>
    </row>
    <row r="1564" spans="2:2">
      <c r="B1564" s="24"/>
    </row>
    <row r="1565" spans="2:2">
      <c r="B1565" s="24"/>
    </row>
    <row r="1566" spans="2:2">
      <c r="B1566" s="24"/>
    </row>
    <row r="1567" spans="2:2">
      <c r="B1567" s="24"/>
    </row>
    <row r="1568" spans="2:2">
      <c r="B1568" s="24"/>
    </row>
    <row r="1569" spans="2:2">
      <c r="B1569" s="24"/>
    </row>
    <row r="1570" spans="2:2">
      <c r="B1570" s="24"/>
    </row>
    <row r="1571" spans="2:2">
      <c r="B1571" s="24"/>
    </row>
    <row r="1572" spans="2:2">
      <c r="B1572" s="24"/>
    </row>
    <row r="1573" spans="2:2">
      <c r="B1573" s="24"/>
    </row>
    <row r="1574" spans="2:2">
      <c r="B1574" s="24"/>
    </row>
    <row r="1575" spans="2:2">
      <c r="B1575" s="24"/>
    </row>
    <row r="1576" spans="2:2">
      <c r="B1576" s="24"/>
    </row>
    <row r="1577" spans="2:2">
      <c r="B1577" s="24"/>
    </row>
    <row r="1578" spans="2:2">
      <c r="B1578" s="24"/>
    </row>
    <row r="1579" spans="2:2">
      <c r="B1579" s="24"/>
    </row>
    <row r="1580" spans="2:2">
      <c r="B1580" s="24"/>
    </row>
    <row r="1581" spans="2:2">
      <c r="B1581" s="24"/>
    </row>
    <row r="1582" spans="2:2">
      <c r="B1582" s="24"/>
    </row>
    <row r="1583" spans="2:2">
      <c r="B1583" s="24"/>
    </row>
    <row r="1584" spans="2:2">
      <c r="B1584" s="24"/>
    </row>
    <row r="1585" spans="2:2">
      <c r="B1585" s="24"/>
    </row>
    <row r="1586" spans="2:2">
      <c r="B1586" s="24"/>
    </row>
    <row r="1587" spans="2:2">
      <c r="B1587" s="24"/>
    </row>
    <row r="1588" spans="2:2">
      <c r="B1588" s="24"/>
    </row>
    <row r="1589" spans="2:2">
      <c r="B1589" s="24"/>
    </row>
    <row r="1590" spans="2:2">
      <c r="B1590" s="24"/>
    </row>
    <row r="1591" spans="2:2">
      <c r="B1591" s="24"/>
    </row>
    <row r="1592" spans="2:2">
      <c r="B1592" s="24"/>
    </row>
    <row r="1593" spans="2:2">
      <c r="B1593" s="24"/>
    </row>
    <row r="1594" spans="2:2">
      <c r="B1594" s="24"/>
    </row>
    <row r="1595" spans="2:2">
      <c r="B1595" s="24"/>
    </row>
    <row r="1596" spans="2:2">
      <c r="B1596" s="24"/>
    </row>
    <row r="1597" spans="2:2">
      <c r="B1597" s="24"/>
    </row>
    <row r="1598" spans="2:2">
      <c r="B1598" s="24"/>
    </row>
    <row r="1599" spans="2:2">
      <c r="B1599" s="24"/>
    </row>
    <row r="1600" spans="2:2">
      <c r="B1600" s="24"/>
    </row>
    <row r="1601" spans="2:2">
      <c r="B1601" s="24"/>
    </row>
    <row r="1602" spans="2:2">
      <c r="B1602" s="24"/>
    </row>
    <row r="1603" spans="2:2">
      <c r="B1603" s="24"/>
    </row>
    <row r="1604" spans="2:2">
      <c r="B1604" s="24"/>
    </row>
    <row r="1605" spans="2:2">
      <c r="B1605" s="24"/>
    </row>
    <row r="1606" spans="2:2">
      <c r="B1606" s="24"/>
    </row>
    <row r="1607" spans="2:2">
      <c r="B1607" s="24"/>
    </row>
    <row r="1608" spans="2:2">
      <c r="B1608" s="24"/>
    </row>
    <row r="1609" spans="2:2">
      <c r="B1609" s="24"/>
    </row>
    <row r="1610" spans="2:2">
      <c r="B1610" s="24"/>
    </row>
    <row r="1611" spans="2:2">
      <c r="B1611" s="24"/>
    </row>
    <row r="1612" spans="2:2">
      <c r="B1612" s="24"/>
    </row>
    <row r="1613" spans="2:2">
      <c r="B1613" s="24"/>
    </row>
    <row r="1614" spans="2:2">
      <c r="B1614" s="24"/>
    </row>
    <row r="1615" spans="2:2">
      <c r="B1615" s="24"/>
    </row>
    <row r="1616" spans="2:2">
      <c r="B1616" s="24"/>
    </row>
    <row r="1617" spans="2:2">
      <c r="B1617" s="24"/>
    </row>
    <row r="1618" spans="2:2">
      <c r="B1618" s="24"/>
    </row>
    <row r="1619" spans="2:2">
      <c r="B1619" s="24"/>
    </row>
    <row r="1620" spans="2:2">
      <c r="B1620" s="24"/>
    </row>
    <row r="1621" spans="2:2">
      <c r="B1621" s="24"/>
    </row>
    <row r="1622" spans="2:2">
      <c r="B1622" s="24"/>
    </row>
    <row r="1623" spans="2:2">
      <c r="B1623" s="24"/>
    </row>
    <row r="1624" spans="2:2">
      <c r="B1624" s="24"/>
    </row>
    <row r="1625" spans="2:2">
      <c r="B1625" s="24"/>
    </row>
    <row r="1626" spans="2:2">
      <c r="B1626" s="24"/>
    </row>
    <row r="1627" spans="2:2">
      <c r="B1627" s="24"/>
    </row>
    <row r="1628" spans="2:2">
      <c r="B1628" s="24"/>
    </row>
    <row r="1629" spans="2:2">
      <c r="B1629" s="24"/>
    </row>
    <row r="1630" spans="2:2">
      <c r="B1630" s="24"/>
    </row>
    <row r="1631" spans="2:2">
      <c r="B1631" s="24"/>
    </row>
    <row r="1632" spans="2:2">
      <c r="B1632" s="24"/>
    </row>
    <row r="1633" spans="2:2">
      <c r="B1633" s="24"/>
    </row>
    <row r="1634" spans="2:2">
      <c r="B1634" s="24"/>
    </row>
    <row r="1635" spans="2:2">
      <c r="B1635" s="24"/>
    </row>
    <row r="1636" spans="2:2">
      <c r="B1636" s="24"/>
    </row>
    <row r="1637" spans="2:2">
      <c r="B1637" s="24"/>
    </row>
    <row r="1638" spans="2:2">
      <c r="B1638" s="24"/>
    </row>
    <row r="1639" spans="2:2">
      <c r="B1639" s="24"/>
    </row>
    <row r="1640" spans="2:2">
      <c r="B1640" s="24"/>
    </row>
    <row r="1641" spans="2:2">
      <c r="B1641" s="24"/>
    </row>
    <row r="1642" spans="2:2">
      <c r="B1642" s="24"/>
    </row>
    <row r="1643" spans="2:2">
      <c r="B1643" s="24"/>
    </row>
    <row r="1644" spans="2:2">
      <c r="B1644" s="24"/>
    </row>
    <row r="1645" spans="2:2">
      <c r="B1645" s="24"/>
    </row>
    <row r="1646" spans="2:2">
      <c r="B1646" s="24"/>
    </row>
    <row r="1647" spans="2:2">
      <c r="B1647" s="24"/>
    </row>
    <row r="1648" spans="2:2">
      <c r="B1648" s="24"/>
    </row>
    <row r="1649" spans="2:2">
      <c r="B1649" s="24"/>
    </row>
    <row r="1650" spans="2:2">
      <c r="B1650" s="24"/>
    </row>
    <row r="1651" spans="2:2">
      <c r="B1651" s="24"/>
    </row>
    <row r="1652" spans="2:2">
      <c r="B1652" s="24"/>
    </row>
    <row r="1653" spans="2:2">
      <c r="B1653" s="24"/>
    </row>
    <row r="1654" spans="2:2">
      <c r="B1654" s="24"/>
    </row>
    <row r="1655" spans="2:2">
      <c r="B1655" s="24"/>
    </row>
    <row r="1656" spans="2:2">
      <c r="B1656" s="24"/>
    </row>
    <row r="1657" spans="2:2">
      <c r="B1657" s="24"/>
    </row>
    <row r="1658" spans="2:2">
      <c r="B1658" s="24"/>
    </row>
    <row r="1659" spans="2:2">
      <c r="B1659" s="24"/>
    </row>
    <row r="1660" spans="2:2">
      <c r="B1660" s="24"/>
    </row>
    <row r="1661" spans="2:2">
      <c r="B1661" s="24"/>
    </row>
    <row r="1662" spans="2:2">
      <c r="B1662" s="24"/>
    </row>
    <row r="1663" spans="2:2">
      <c r="B1663" s="24"/>
    </row>
    <row r="1664" spans="2:2">
      <c r="B1664" s="24"/>
    </row>
    <row r="1665" spans="2:2">
      <c r="B1665" s="24"/>
    </row>
    <row r="1666" spans="2:2">
      <c r="B1666" s="24"/>
    </row>
    <row r="1667" spans="2:2">
      <c r="B1667" s="24"/>
    </row>
    <row r="1668" spans="2:2">
      <c r="B1668" s="24"/>
    </row>
    <row r="1669" spans="2:2">
      <c r="B1669" s="24"/>
    </row>
    <row r="1670" spans="2:2">
      <c r="B1670" s="24"/>
    </row>
    <row r="1671" spans="2:2">
      <c r="B1671" s="24"/>
    </row>
    <row r="1672" spans="2:2">
      <c r="B1672" s="24"/>
    </row>
    <row r="1673" spans="2:2">
      <c r="B1673" s="24"/>
    </row>
    <row r="1674" spans="2:2">
      <c r="B1674" s="24"/>
    </row>
    <row r="1675" spans="2:2">
      <c r="B1675" s="24"/>
    </row>
    <row r="1676" spans="2:2">
      <c r="B1676" s="24"/>
    </row>
    <row r="1677" spans="2:2">
      <c r="B1677" s="24"/>
    </row>
    <row r="1678" spans="2:2">
      <c r="B1678" s="24"/>
    </row>
    <row r="1679" spans="2:2">
      <c r="B1679" s="24"/>
    </row>
    <row r="1680" spans="2:2">
      <c r="B1680" s="24"/>
    </row>
    <row r="1681" spans="2:2">
      <c r="B1681" s="24"/>
    </row>
    <row r="1682" spans="2:2">
      <c r="B1682" s="24"/>
    </row>
    <row r="1683" spans="2:2">
      <c r="B1683" s="24"/>
    </row>
    <row r="1684" spans="2:2">
      <c r="B1684" s="24"/>
    </row>
    <row r="1685" spans="2:2">
      <c r="B1685" s="24"/>
    </row>
    <row r="1686" spans="2:2">
      <c r="B1686" s="24"/>
    </row>
    <row r="1687" spans="2:2">
      <c r="B1687" s="24"/>
    </row>
    <row r="1688" spans="2:2">
      <c r="B1688" s="24"/>
    </row>
    <row r="1689" spans="2:2">
      <c r="B1689" s="24"/>
    </row>
    <row r="1690" spans="2:2">
      <c r="B1690" s="24"/>
    </row>
    <row r="1691" spans="2:2">
      <c r="B1691" s="24"/>
    </row>
    <row r="1692" spans="2:2">
      <c r="B1692" s="24"/>
    </row>
    <row r="1693" spans="2:2">
      <c r="B1693" s="24"/>
    </row>
    <row r="1694" spans="2:2">
      <c r="B1694" s="24"/>
    </row>
    <row r="1695" spans="2:2">
      <c r="B1695" s="24"/>
    </row>
    <row r="1696" spans="2:2">
      <c r="B1696" s="24"/>
    </row>
    <row r="1697" spans="2:2">
      <c r="B1697" s="24"/>
    </row>
    <row r="1698" spans="2:2">
      <c r="B1698" s="24"/>
    </row>
    <row r="1699" spans="2:2">
      <c r="B1699" s="24"/>
    </row>
    <row r="1700" spans="2:2">
      <c r="B1700" s="24"/>
    </row>
    <row r="1701" spans="2:2">
      <c r="B1701" s="24"/>
    </row>
    <row r="1702" spans="2:2">
      <c r="B1702" s="24"/>
    </row>
    <row r="1703" spans="2:2">
      <c r="B1703" s="24"/>
    </row>
    <row r="1704" spans="2:2">
      <c r="B1704" s="24"/>
    </row>
    <row r="1705" spans="2:2">
      <c r="B1705" s="24"/>
    </row>
    <row r="1706" spans="2:2">
      <c r="B1706" s="24"/>
    </row>
    <row r="1707" spans="2:2">
      <c r="B1707" s="24"/>
    </row>
    <row r="1708" spans="2:2">
      <c r="B1708" s="24"/>
    </row>
    <row r="1709" spans="2:2">
      <c r="B1709" s="24"/>
    </row>
    <row r="1710" spans="2:2">
      <c r="B1710" s="24"/>
    </row>
    <row r="1711" spans="2:2">
      <c r="B1711" s="24"/>
    </row>
    <row r="1712" spans="2:2">
      <c r="B1712" s="24"/>
    </row>
    <row r="1713" spans="2:2">
      <c r="B1713" s="24"/>
    </row>
    <row r="1714" spans="2:2">
      <c r="B1714" s="24"/>
    </row>
    <row r="1715" spans="2:2">
      <c r="B1715" s="24"/>
    </row>
    <row r="1716" spans="2:2">
      <c r="B1716" s="24"/>
    </row>
    <row r="1717" spans="2:2">
      <c r="B1717" s="24"/>
    </row>
    <row r="1718" spans="2:2">
      <c r="B1718" s="24"/>
    </row>
    <row r="1719" spans="2:2">
      <c r="B1719" s="24"/>
    </row>
    <row r="1720" spans="2:2">
      <c r="B1720" s="24"/>
    </row>
    <row r="1721" spans="2:2">
      <c r="B1721" s="24"/>
    </row>
    <row r="1722" spans="2:2">
      <c r="B1722" s="24"/>
    </row>
    <row r="1723" spans="2:2">
      <c r="B1723" s="24"/>
    </row>
    <row r="1724" spans="2:2">
      <c r="B1724" s="24"/>
    </row>
    <row r="1725" spans="2:2">
      <c r="B1725" s="24"/>
    </row>
    <row r="1726" spans="2:2">
      <c r="B1726" s="24"/>
    </row>
    <row r="1727" spans="2:2">
      <c r="B1727" s="24"/>
    </row>
    <row r="1728" spans="2:2">
      <c r="B1728" s="24"/>
    </row>
    <row r="1729" spans="2:2">
      <c r="B1729" s="24"/>
    </row>
    <row r="1730" spans="2:2">
      <c r="B1730" s="24"/>
    </row>
    <row r="1731" spans="2:2">
      <c r="B1731" s="24"/>
    </row>
    <row r="1732" spans="2:2">
      <c r="B1732" s="24"/>
    </row>
    <row r="1733" spans="2:2">
      <c r="B1733" s="24"/>
    </row>
    <row r="1734" spans="2:2">
      <c r="B1734" s="24"/>
    </row>
    <row r="1735" spans="2:2">
      <c r="B1735" s="24"/>
    </row>
    <row r="1736" spans="2:2">
      <c r="B1736" s="24"/>
    </row>
    <row r="1737" spans="2:2">
      <c r="B1737" s="24"/>
    </row>
    <row r="1738" spans="2:2">
      <c r="B1738" s="24"/>
    </row>
    <row r="1739" spans="2:2">
      <c r="B1739" s="24"/>
    </row>
    <row r="1740" spans="2:2">
      <c r="B1740" s="24"/>
    </row>
    <row r="1741" spans="2:2">
      <c r="B1741" s="24"/>
    </row>
    <row r="1742" spans="2:2">
      <c r="B1742" s="24"/>
    </row>
    <row r="1743" spans="2:2">
      <c r="B1743" s="24"/>
    </row>
    <row r="1744" spans="2:2">
      <c r="B1744" s="24"/>
    </row>
    <row r="1745" spans="2:2">
      <c r="B1745" s="24"/>
    </row>
    <row r="1746" spans="2:2">
      <c r="B1746" s="24"/>
    </row>
    <row r="1747" spans="2:2">
      <c r="B1747" s="24"/>
    </row>
    <row r="1748" spans="2:2">
      <c r="B1748" s="24"/>
    </row>
    <row r="1749" spans="2:2">
      <c r="B1749" s="24"/>
    </row>
    <row r="1750" spans="2:2">
      <c r="B1750" s="24"/>
    </row>
    <row r="1751" spans="2:2">
      <c r="B1751" s="24"/>
    </row>
    <row r="1752" spans="2:2">
      <c r="B1752" s="24"/>
    </row>
    <row r="1753" spans="2:2">
      <c r="B1753" s="24"/>
    </row>
    <row r="1754" spans="2:2">
      <c r="B1754" s="24"/>
    </row>
    <row r="1755" spans="2:2">
      <c r="B1755" s="24"/>
    </row>
    <row r="1756" spans="2:2">
      <c r="B1756" s="24"/>
    </row>
    <row r="1757" spans="2:2">
      <c r="B1757" s="24"/>
    </row>
    <row r="1758" spans="2:2">
      <c r="B1758" s="24"/>
    </row>
    <row r="1759" spans="2:2">
      <c r="B1759" s="24"/>
    </row>
    <row r="1760" spans="2:2">
      <c r="B1760" s="24"/>
    </row>
    <row r="1761" spans="2:2">
      <c r="B1761" s="24"/>
    </row>
    <row r="1762" spans="2:2">
      <c r="B1762" s="24"/>
    </row>
    <row r="1763" spans="2:2">
      <c r="B1763" s="24"/>
    </row>
    <row r="1764" spans="2:2">
      <c r="B1764" s="24"/>
    </row>
    <row r="1765" spans="2:2">
      <c r="B1765" s="24"/>
    </row>
    <row r="1766" spans="2:2">
      <c r="B1766" s="24"/>
    </row>
    <row r="1767" spans="2:2">
      <c r="B1767" s="24"/>
    </row>
    <row r="1768" spans="2:2">
      <c r="B1768" s="24"/>
    </row>
    <row r="1769" spans="2:2">
      <c r="B1769" s="24"/>
    </row>
    <row r="1770" spans="2:2">
      <c r="B1770" s="24"/>
    </row>
    <row r="1771" spans="2:2">
      <c r="B1771" s="24"/>
    </row>
    <row r="1772" spans="2:2">
      <c r="B1772" s="24"/>
    </row>
    <row r="1773" spans="2:2">
      <c r="B1773" s="24"/>
    </row>
    <row r="1774" spans="2:2">
      <c r="B1774" s="24"/>
    </row>
    <row r="1775" spans="2:2">
      <c r="B1775" s="24"/>
    </row>
    <row r="1776" spans="2:2">
      <c r="B1776" s="24"/>
    </row>
    <row r="1777" spans="2:2">
      <c r="B1777" s="24"/>
    </row>
    <row r="1778" spans="2:2">
      <c r="B1778" s="24"/>
    </row>
    <row r="1779" spans="2:2">
      <c r="B1779" s="24"/>
    </row>
    <row r="1780" spans="2:2">
      <c r="B1780" s="24"/>
    </row>
    <row r="1781" spans="2:2">
      <c r="B1781" s="24"/>
    </row>
    <row r="1782" spans="2:2">
      <c r="B1782" s="24"/>
    </row>
    <row r="1783" spans="2:2">
      <c r="B1783" s="24"/>
    </row>
    <row r="1784" spans="2:2">
      <c r="B1784" s="24"/>
    </row>
    <row r="1785" spans="2:2">
      <c r="B1785" s="24"/>
    </row>
    <row r="1786" spans="2:2">
      <c r="B1786" s="24"/>
    </row>
    <row r="1787" spans="2:2">
      <c r="B1787" s="24"/>
    </row>
    <row r="1788" spans="2:2">
      <c r="B1788" s="24"/>
    </row>
    <row r="1789" spans="2:2">
      <c r="B1789" s="24"/>
    </row>
    <row r="1790" spans="2:2">
      <c r="B1790" s="24"/>
    </row>
    <row r="1791" spans="2:2">
      <c r="B1791" s="24"/>
    </row>
    <row r="1792" spans="2:2">
      <c r="B1792" s="24"/>
    </row>
    <row r="1793" spans="2:2">
      <c r="B1793" s="24"/>
    </row>
    <row r="1794" spans="2:2">
      <c r="B1794" s="24"/>
    </row>
    <row r="1795" spans="2:2">
      <c r="B1795" s="24"/>
    </row>
    <row r="1796" spans="2:2">
      <c r="B1796" s="24"/>
    </row>
    <row r="1797" spans="2:2">
      <c r="B1797" s="24"/>
    </row>
    <row r="1798" spans="2:2">
      <c r="B1798" s="24"/>
    </row>
    <row r="1799" spans="2:2">
      <c r="B1799" s="24"/>
    </row>
    <row r="1800" spans="2:2">
      <c r="B1800" s="24"/>
    </row>
    <row r="1801" spans="2:2">
      <c r="B1801" s="24"/>
    </row>
    <row r="1802" spans="2:2">
      <c r="B1802" s="24"/>
    </row>
    <row r="1803" spans="2:2">
      <c r="B1803" s="24"/>
    </row>
    <row r="1804" spans="2:2">
      <c r="B1804" s="24"/>
    </row>
    <row r="1805" spans="2:2">
      <c r="B1805" s="24"/>
    </row>
    <row r="1806" spans="2:2">
      <c r="B1806" s="24"/>
    </row>
    <row r="1807" spans="2:2">
      <c r="B1807" s="24"/>
    </row>
    <row r="1808" spans="2:2">
      <c r="B1808" s="24"/>
    </row>
    <row r="1809" spans="2:2">
      <c r="B1809" s="24"/>
    </row>
    <row r="1810" spans="2:2">
      <c r="B1810" s="24"/>
    </row>
    <row r="1811" spans="2:2">
      <c r="B1811" s="24"/>
    </row>
    <row r="1812" spans="2:2">
      <c r="B1812" s="24"/>
    </row>
    <row r="1813" spans="2:2">
      <c r="B1813" s="24"/>
    </row>
    <row r="1814" spans="2:2">
      <c r="B1814" s="24"/>
    </row>
    <row r="1815" spans="2:2">
      <c r="B1815" s="24"/>
    </row>
    <row r="1816" spans="2:2">
      <c r="B1816" s="24"/>
    </row>
    <row r="1817" spans="2:2">
      <c r="B1817" s="24"/>
    </row>
    <row r="1818" spans="2:2">
      <c r="B1818" s="24"/>
    </row>
    <row r="1819" spans="2:2">
      <c r="B1819" s="24"/>
    </row>
    <row r="1820" spans="2:2">
      <c r="B1820" s="24"/>
    </row>
    <row r="1821" spans="2:2">
      <c r="B1821" s="24"/>
    </row>
    <row r="1822" spans="2:2">
      <c r="B1822" s="24"/>
    </row>
    <row r="1823" spans="2:2">
      <c r="B1823" s="24"/>
    </row>
    <row r="1824" spans="2:2">
      <c r="B1824" s="24"/>
    </row>
    <row r="1825" spans="2:2">
      <c r="B1825" s="24"/>
    </row>
    <row r="1826" spans="2:2">
      <c r="B1826" s="24"/>
    </row>
    <row r="1827" spans="2:2">
      <c r="B1827" s="24"/>
    </row>
    <row r="1828" spans="2:2">
      <c r="B1828" s="24"/>
    </row>
    <row r="1829" spans="2:2">
      <c r="B1829" s="24"/>
    </row>
    <row r="1830" spans="2:2">
      <c r="B1830" s="24"/>
    </row>
    <row r="1831" spans="2:2">
      <c r="B1831" s="24"/>
    </row>
    <row r="1832" spans="2:2">
      <c r="B1832" s="24"/>
    </row>
    <row r="1833" spans="2:2">
      <c r="B1833" s="24"/>
    </row>
    <row r="1834" spans="2:2">
      <c r="B1834" s="24"/>
    </row>
    <row r="1835" spans="2:2">
      <c r="B1835" s="24"/>
    </row>
    <row r="1836" spans="2:2">
      <c r="B1836" s="24"/>
    </row>
    <row r="1837" spans="2:2">
      <c r="B1837" s="24"/>
    </row>
    <row r="1838" spans="2:2">
      <c r="B1838" s="24"/>
    </row>
    <row r="1839" spans="2:2">
      <c r="B1839" s="24"/>
    </row>
    <row r="1840" spans="2:2">
      <c r="B1840" s="24"/>
    </row>
    <row r="1841" spans="2:2">
      <c r="B1841" s="24"/>
    </row>
    <row r="1842" spans="2:2">
      <c r="B1842" s="24"/>
    </row>
    <row r="1843" spans="2:2">
      <c r="B1843" s="24"/>
    </row>
    <row r="1844" spans="2:2">
      <c r="B1844" s="24"/>
    </row>
    <row r="1845" spans="2:2">
      <c r="B1845" s="24"/>
    </row>
    <row r="1846" spans="2:2">
      <c r="B1846" s="24"/>
    </row>
    <row r="1847" spans="2:2">
      <c r="B1847" s="24"/>
    </row>
    <row r="1848" spans="2:2">
      <c r="B1848" s="24"/>
    </row>
    <row r="1849" spans="2:2">
      <c r="B1849" s="24"/>
    </row>
    <row r="1850" spans="2:2">
      <c r="B1850" s="24"/>
    </row>
    <row r="1851" spans="2:2">
      <c r="B1851" s="24"/>
    </row>
    <row r="1852" spans="2:2">
      <c r="B1852" s="24"/>
    </row>
    <row r="1853" spans="2:2">
      <c r="B1853" s="24"/>
    </row>
    <row r="1854" spans="2:2">
      <c r="B1854" s="24"/>
    </row>
    <row r="1855" spans="2:2">
      <c r="B1855" s="24"/>
    </row>
    <row r="1856" spans="2:2">
      <c r="B1856" s="24"/>
    </row>
    <row r="1857" spans="2:2">
      <c r="B1857" s="24"/>
    </row>
    <row r="1858" spans="2:2">
      <c r="B1858" s="24"/>
    </row>
    <row r="1859" spans="2:2">
      <c r="B1859" s="24"/>
    </row>
    <row r="1860" spans="2:2">
      <c r="B1860" s="24"/>
    </row>
    <row r="1861" spans="2:2">
      <c r="B1861" s="24"/>
    </row>
    <row r="1862" spans="2:2">
      <c r="B1862" s="24"/>
    </row>
    <row r="1863" spans="2:2">
      <c r="B1863" s="24"/>
    </row>
    <row r="1864" spans="2:2">
      <c r="B1864" s="24"/>
    </row>
    <row r="1865" spans="2:2">
      <c r="B1865" s="24"/>
    </row>
    <row r="1866" spans="2:2">
      <c r="B1866" s="24"/>
    </row>
    <row r="1867" spans="2:2">
      <c r="B1867" s="24"/>
    </row>
    <row r="1868" spans="2:2">
      <c r="B1868" s="24"/>
    </row>
    <row r="1869" spans="2:2">
      <c r="B1869" s="24"/>
    </row>
    <row r="1870" spans="2:2">
      <c r="B1870" s="24"/>
    </row>
    <row r="1871" spans="2:2">
      <c r="B1871" s="24"/>
    </row>
    <row r="1872" spans="2:2">
      <c r="B1872" s="24"/>
    </row>
    <row r="1873" spans="2:2">
      <c r="B1873" s="24"/>
    </row>
    <row r="1874" spans="2:2">
      <c r="B1874" s="24"/>
    </row>
    <row r="1875" spans="2:2">
      <c r="B1875" s="24"/>
    </row>
    <row r="1876" spans="2:2">
      <c r="B1876" s="24"/>
    </row>
    <row r="1877" spans="2:2">
      <c r="B1877" s="24"/>
    </row>
    <row r="1878" spans="2:2">
      <c r="B1878" s="24"/>
    </row>
    <row r="1879" spans="2:2">
      <c r="B1879" s="24"/>
    </row>
    <row r="1880" spans="2:2">
      <c r="B1880" s="24"/>
    </row>
    <row r="1881" spans="2:2">
      <c r="B1881" s="24"/>
    </row>
    <row r="1882" spans="2:2">
      <c r="B1882" s="24"/>
    </row>
    <row r="1883" spans="2:2">
      <c r="B1883" s="24"/>
    </row>
    <row r="1884" spans="2:2">
      <c r="B1884" s="24"/>
    </row>
    <row r="1885" spans="2:2">
      <c r="B1885" s="24"/>
    </row>
    <row r="1886" spans="2:2">
      <c r="B1886" s="24"/>
    </row>
    <row r="1887" spans="2:2">
      <c r="B1887" s="24"/>
    </row>
    <row r="1888" spans="2:2">
      <c r="B1888" s="24"/>
    </row>
    <row r="1889" spans="2:2">
      <c r="B1889" s="24"/>
    </row>
    <row r="1890" spans="2:2">
      <c r="B1890" s="24"/>
    </row>
    <row r="1891" spans="2:2">
      <c r="B1891" s="24"/>
    </row>
    <row r="1892" spans="2:2">
      <c r="B1892" s="24"/>
    </row>
    <row r="1893" spans="2:2">
      <c r="B1893" s="24"/>
    </row>
    <row r="1894" spans="2:2">
      <c r="B1894" s="24"/>
    </row>
    <row r="1895" spans="2:2">
      <c r="B1895" s="24"/>
    </row>
    <row r="1896" spans="2:2">
      <c r="B1896" s="24"/>
    </row>
    <row r="1897" spans="2:2">
      <c r="B1897" s="24"/>
    </row>
    <row r="1898" spans="2:2">
      <c r="B1898" s="24"/>
    </row>
    <row r="1899" spans="2:2">
      <c r="B1899" s="24"/>
    </row>
    <row r="1900" spans="2:2">
      <c r="B1900" s="24"/>
    </row>
    <row r="1901" spans="2:2">
      <c r="B1901" s="24"/>
    </row>
    <row r="1902" spans="2:2">
      <c r="B1902" s="24"/>
    </row>
    <row r="1903" spans="2:2">
      <c r="B1903" s="24"/>
    </row>
    <row r="1904" spans="2:2">
      <c r="B1904" s="24"/>
    </row>
    <row r="1905" spans="2:2">
      <c r="B1905" s="24"/>
    </row>
    <row r="1906" spans="2:2">
      <c r="B1906" s="24"/>
    </row>
    <row r="1907" spans="2:2">
      <c r="B1907" s="24"/>
    </row>
    <row r="1908" spans="2:2">
      <c r="B1908" s="24"/>
    </row>
    <row r="1909" spans="2:2">
      <c r="B1909" s="24"/>
    </row>
    <row r="1910" spans="2:2">
      <c r="B1910" s="24"/>
    </row>
    <row r="1911" spans="2:2">
      <c r="B1911" s="24"/>
    </row>
    <row r="1912" spans="2:2">
      <c r="B1912" s="24"/>
    </row>
    <row r="1913" spans="2:2">
      <c r="B1913" s="24"/>
    </row>
    <row r="1914" spans="2:2">
      <c r="B1914" s="24"/>
    </row>
    <row r="1915" spans="2:2">
      <c r="B1915" s="24"/>
    </row>
    <row r="1916" spans="2:2">
      <c r="B1916" s="24"/>
    </row>
    <row r="1917" spans="2:2">
      <c r="B1917" s="24"/>
    </row>
    <row r="1918" spans="2:2">
      <c r="B1918" s="24"/>
    </row>
    <row r="1919" spans="2:2">
      <c r="B1919" s="24"/>
    </row>
    <row r="1920" spans="2:2">
      <c r="B1920" s="24"/>
    </row>
    <row r="1921" spans="2:2">
      <c r="B1921" s="24"/>
    </row>
    <row r="1922" spans="2:2">
      <c r="B1922" s="24"/>
    </row>
    <row r="1923" spans="2:2">
      <c r="B1923" s="24"/>
    </row>
    <row r="1924" spans="2:2">
      <c r="B1924" s="24"/>
    </row>
    <row r="1925" spans="2:2">
      <c r="B1925" s="24"/>
    </row>
    <row r="1926" spans="2:2">
      <c r="B1926" s="24"/>
    </row>
    <row r="1927" spans="2:2">
      <c r="B1927" s="24"/>
    </row>
    <row r="1928" spans="2:2">
      <c r="B1928" s="24"/>
    </row>
    <row r="1929" spans="2:2">
      <c r="B1929" s="24"/>
    </row>
    <row r="1930" spans="2:2">
      <c r="B1930" s="24"/>
    </row>
    <row r="1931" spans="2:2">
      <c r="B1931" s="24"/>
    </row>
    <row r="1932" spans="2:2">
      <c r="B1932" s="24"/>
    </row>
    <row r="1933" spans="2:2">
      <c r="B1933" s="24"/>
    </row>
    <row r="1934" spans="2:2">
      <c r="B1934" s="24"/>
    </row>
    <row r="1935" spans="2:2">
      <c r="B1935" s="24"/>
    </row>
    <row r="1936" spans="2:2">
      <c r="B1936" s="24"/>
    </row>
    <row r="1937" spans="2:2">
      <c r="B1937" s="24"/>
    </row>
    <row r="1938" spans="2:2">
      <c r="B1938" s="24"/>
    </row>
    <row r="1939" spans="2:2">
      <c r="B1939" s="24"/>
    </row>
    <row r="1940" spans="2:2">
      <c r="B1940" s="24"/>
    </row>
    <row r="1941" spans="2:2">
      <c r="B1941" s="24"/>
    </row>
    <row r="1942" spans="2:2">
      <c r="B1942" s="24"/>
    </row>
    <row r="1943" spans="2:2">
      <c r="B1943" s="24"/>
    </row>
    <row r="1944" spans="2:2">
      <c r="B1944" s="24"/>
    </row>
    <row r="1945" spans="2:2">
      <c r="B1945" s="24"/>
    </row>
    <row r="1946" spans="2:2">
      <c r="B1946" s="24"/>
    </row>
    <row r="1947" spans="2:2">
      <c r="B1947" s="24"/>
    </row>
    <row r="1948" spans="2:2">
      <c r="B1948" s="24"/>
    </row>
    <row r="1949" spans="2:2">
      <c r="B1949" s="24"/>
    </row>
    <row r="1950" spans="2:2">
      <c r="B1950" s="24"/>
    </row>
    <row r="1951" spans="2:2">
      <c r="B1951" s="24"/>
    </row>
    <row r="1952" spans="2:2">
      <c r="B1952" s="24"/>
    </row>
    <row r="1953" spans="2:2">
      <c r="B1953" s="24"/>
    </row>
    <row r="1954" spans="2:2">
      <c r="B1954" s="24"/>
    </row>
    <row r="1955" spans="2:2">
      <c r="B1955" s="24"/>
    </row>
    <row r="1956" spans="2:2">
      <c r="B1956" s="24"/>
    </row>
    <row r="1957" spans="2:2">
      <c r="B1957" s="24"/>
    </row>
    <row r="1958" spans="2:2">
      <c r="B1958" s="24"/>
    </row>
    <row r="1959" spans="2:2">
      <c r="B1959" s="24"/>
    </row>
    <row r="1960" spans="2:2">
      <c r="B1960" s="24"/>
    </row>
    <row r="1961" spans="2:2">
      <c r="B1961" s="24"/>
    </row>
    <row r="1962" spans="2:2">
      <c r="B1962" s="24"/>
    </row>
    <row r="1963" spans="2:2">
      <c r="B1963" s="24"/>
    </row>
    <row r="1964" spans="2:2">
      <c r="B1964" s="24"/>
    </row>
    <row r="1965" spans="2:2">
      <c r="B1965" s="24"/>
    </row>
    <row r="1966" spans="2:2">
      <c r="B1966" s="24"/>
    </row>
    <row r="1967" spans="2:2">
      <c r="B1967" s="24"/>
    </row>
    <row r="1968" spans="2:2">
      <c r="B1968" s="24"/>
    </row>
    <row r="1969" spans="2:2">
      <c r="B1969" s="24"/>
    </row>
    <row r="1970" spans="2:2">
      <c r="B1970" s="24"/>
    </row>
    <row r="1971" spans="2:2">
      <c r="B1971" s="24"/>
    </row>
    <row r="1972" spans="2:2">
      <c r="B1972" s="24"/>
    </row>
    <row r="1973" spans="2:2">
      <c r="B1973" s="24"/>
    </row>
    <row r="1974" spans="2:2">
      <c r="B1974" s="24"/>
    </row>
    <row r="1975" spans="2:2">
      <c r="B1975" s="24"/>
    </row>
    <row r="1976" spans="2:2">
      <c r="B1976" s="24"/>
    </row>
    <row r="1977" spans="2:2">
      <c r="B1977" s="24"/>
    </row>
    <row r="1978" spans="2:2">
      <c r="B1978" s="24"/>
    </row>
    <row r="1979" spans="2:2">
      <c r="B1979" s="24"/>
    </row>
    <row r="1980" spans="2:2">
      <c r="B1980" s="24"/>
    </row>
    <row r="1981" spans="2:2">
      <c r="B1981" s="24"/>
    </row>
    <row r="1982" spans="2:2">
      <c r="B1982" s="24"/>
    </row>
    <row r="1983" spans="2:2">
      <c r="B1983" s="24"/>
    </row>
    <row r="1984" spans="2:2">
      <c r="B1984" s="24"/>
    </row>
    <row r="1985" spans="2:2">
      <c r="B1985" s="24"/>
    </row>
    <row r="1986" spans="2:2">
      <c r="B1986" s="24"/>
    </row>
    <row r="1987" spans="2:2">
      <c r="B1987" s="24"/>
    </row>
    <row r="1988" spans="2:2">
      <c r="B1988" s="24"/>
    </row>
    <row r="1989" spans="2:2">
      <c r="B1989" s="24"/>
    </row>
    <row r="1990" spans="2:2">
      <c r="B1990" s="24"/>
    </row>
    <row r="1991" spans="2:2">
      <c r="B1991" s="24"/>
    </row>
    <row r="1992" spans="2:2">
      <c r="B1992" s="24"/>
    </row>
    <row r="1993" spans="2:2">
      <c r="B1993" s="24"/>
    </row>
    <row r="1994" spans="2:2">
      <c r="B1994" s="24"/>
    </row>
    <row r="1995" spans="2:2">
      <c r="B1995" s="24"/>
    </row>
    <row r="1996" spans="2:2">
      <c r="B1996" s="24"/>
    </row>
    <row r="1997" spans="2:2">
      <c r="B1997" s="24"/>
    </row>
    <row r="1998" spans="2:2">
      <c r="B1998" s="24"/>
    </row>
    <row r="1999" spans="2:2">
      <c r="B1999" s="24"/>
    </row>
    <row r="2000" spans="2:2">
      <c r="B2000" s="24"/>
    </row>
    <row r="2001" spans="2:2">
      <c r="B2001" s="24"/>
    </row>
    <row r="2002" spans="2:2">
      <c r="B2002" s="24"/>
    </row>
    <row r="2003" spans="2:2">
      <c r="B2003" s="24"/>
    </row>
    <row r="2004" spans="2:2">
      <c r="B2004" s="24"/>
    </row>
    <row r="2005" spans="2:2">
      <c r="B2005" s="24"/>
    </row>
    <row r="2006" spans="2:2">
      <c r="B2006" s="24"/>
    </row>
    <row r="2007" spans="2:2">
      <c r="B2007" s="24"/>
    </row>
    <row r="2008" spans="2:2">
      <c r="B2008" s="24"/>
    </row>
    <row r="2009" spans="2:2">
      <c r="B2009" s="24"/>
    </row>
    <row r="2010" spans="2:2">
      <c r="B2010" s="24"/>
    </row>
    <row r="2011" spans="2:2">
      <c r="B2011" s="24"/>
    </row>
    <row r="2012" spans="2:2">
      <c r="B2012" s="24"/>
    </row>
    <row r="2013" spans="2:2">
      <c r="B2013" s="24"/>
    </row>
    <row r="2014" spans="2:2">
      <c r="B2014" s="24"/>
    </row>
    <row r="2015" spans="2:2">
      <c r="B2015" s="24"/>
    </row>
    <row r="2016" spans="2:2">
      <c r="B2016" s="24"/>
    </row>
    <row r="2017" spans="2:2">
      <c r="B2017" s="24"/>
    </row>
    <row r="2018" spans="2:2">
      <c r="B2018" s="24"/>
    </row>
    <row r="2019" spans="2:2">
      <c r="B2019" s="24"/>
    </row>
    <row r="2020" spans="2:2">
      <c r="B2020" s="24"/>
    </row>
    <row r="2021" spans="2:2">
      <c r="B2021" s="24"/>
    </row>
    <row r="2022" spans="2:2">
      <c r="B2022" s="24"/>
    </row>
    <row r="2023" spans="2:2">
      <c r="B2023" s="24"/>
    </row>
    <row r="2024" spans="2:2">
      <c r="B2024" s="24"/>
    </row>
    <row r="2025" spans="2:2">
      <c r="B2025" s="24"/>
    </row>
    <row r="2026" spans="2:2">
      <c r="B2026" s="24"/>
    </row>
    <row r="2027" spans="2:2">
      <c r="B2027" s="24"/>
    </row>
    <row r="2028" spans="2:2">
      <c r="B2028" s="24"/>
    </row>
    <row r="2029" spans="2:2">
      <c r="B2029" s="24"/>
    </row>
    <row r="2030" spans="2:2">
      <c r="B2030" s="24"/>
    </row>
    <row r="2031" spans="2:2">
      <c r="B2031" s="24"/>
    </row>
    <row r="2032" spans="2:2">
      <c r="B2032" s="24"/>
    </row>
    <row r="2033" spans="2:2">
      <c r="B2033" s="24"/>
    </row>
    <row r="2034" spans="2:2">
      <c r="B2034" s="24"/>
    </row>
    <row r="2035" spans="2:2">
      <c r="B2035" s="24"/>
    </row>
    <row r="2036" spans="2:2">
      <c r="B2036" s="24"/>
    </row>
    <row r="2037" spans="2:2">
      <c r="B2037" s="24"/>
    </row>
    <row r="2038" spans="2:2">
      <c r="B2038" s="24"/>
    </row>
    <row r="2039" spans="2:2">
      <c r="B2039" s="24"/>
    </row>
    <row r="2040" spans="2:2">
      <c r="B2040" s="24"/>
    </row>
    <row r="2041" spans="2:2">
      <c r="B2041" s="24"/>
    </row>
    <row r="2042" spans="2:2">
      <c r="B2042" s="24"/>
    </row>
    <row r="2043" spans="2:2">
      <c r="B2043" s="24"/>
    </row>
    <row r="2044" spans="2:2">
      <c r="B2044" s="24"/>
    </row>
    <row r="2045" spans="2:2">
      <c r="B2045" s="24"/>
    </row>
    <row r="2046" spans="2:2">
      <c r="B2046" s="24"/>
    </row>
    <row r="2047" spans="2:2">
      <c r="B2047" s="24"/>
    </row>
    <row r="2048" spans="2:2">
      <c r="B2048" s="24"/>
    </row>
    <row r="2049" spans="2:2">
      <c r="B2049" s="24"/>
    </row>
    <row r="2050" spans="2:2">
      <c r="B2050" s="24"/>
    </row>
    <row r="2051" spans="2:2">
      <c r="B2051" s="24"/>
    </row>
    <row r="2052" spans="2:2">
      <c r="B2052" s="24"/>
    </row>
    <row r="2053" spans="2:2">
      <c r="B2053" s="24"/>
    </row>
    <row r="2054" spans="2:2">
      <c r="B2054" s="24"/>
    </row>
    <row r="2055" spans="2:2">
      <c r="B2055" s="24"/>
    </row>
    <row r="2056" spans="2:2">
      <c r="B2056" s="24"/>
    </row>
    <row r="2057" spans="2:2">
      <c r="B2057" s="24"/>
    </row>
    <row r="2058" spans="2:2">
      <c r="B2058" s="24"/>
    </row>
    <row r="2059" spans="2:2">
      <c r="B2059" s="24"/>
    </row>
    <row r="2060" spans="2:2">
      <c r="B2060" s="24"/>
    </row>
    <row r="2061" spans="2:2">
      <c r="B2061" s="24"/>
    </row>
    <row r="2062" spans="2:2">
      <c r="B2062" s="24"/>
    </row>
    <row r="2063" spans="2:2">
      <c r="B2063" s="24"/>
    </row>
    <row r="2064" spans="2:2">
      <c r="B2064" s="24"/>
    </row>
    <row r="2065" spans="2:2">
      <c r="B2065" s="24"/>
    </row>
    <row r="2066" spans="2:2">
      <c r="B2066" s="24"/>
    </row>
    <row r="2067" spans="2:2">
      <c r="B2067" s="24"/>
    </row>
    <row r="2068" spans="2:2">
      <c r="B2068" s="24"/>
    </row>
    <row r="2069" spans="2:2">
      <c r="B2069" s="24"/>
    </row>
    <row r="2070" spans="2:2">
      <c r="B2070" s="24"/>
    </row>
    <row r="2071" spans="2:2">
      <c r="B2071" s="24"/>
    </row>
    <row r="2072" spans="2:2">
      <c r="B2072" s="24"/>
    </row>
    <row r="2073" spans="2:2">
      <c r="B2073" s="24"/>
    </row>
    <row r="2074" spans="2:2">
      <c r="B2074" s="24"/>
    </row>
    <row r="2075" spans="2:2">
      <c r="B2075" s="24"/>
    </row>
    <row r="2076" spans="2:2">
      <c r="B2076" s="24"/>
    </row>
    <row r="2077" spans="2:2">
      <c r="B2077" s="24"/>
    </row>
    <row r="2078" spans="2:2">
      <c r="B2078" s="24"/>
    </row>
    <row r="2079" spans="2:2">
      <c r="B2079" s="24"/>
    </row>
    <row r="2080" spans="2:2">
      <c r="B2080" s="24"/>
    </row>
    <row r="2081" spans="2:2">
      <c r="B2081" s="24"/>
    </row>
    <row r="2082" spans="2:2">
      <c r="B2082" s="24"/>
    </row>
    <row r="2083" spans="2:2">
      <c r="B2083" s="24"/>
    </row>
    <row r="2084" spans="2:2">
      <c r="B2084" s="24"/>
    </row>
    <row r="2085" spans="2:2">
      <c r="B2085" s="24"/>
    </row>
    <row r="2086" spans="2:2">
      <c r="B2086" s="24"/>
    </row>
    <row r="2087" spans="2:2">
      <c r="B2087" s="24"/>
    </row>
    <row r="2088" spans="2:2">
      <c r="B2088" s="24"/>
    </row>
    <row r="2089" spans="2:2">
      <c r="B2089" s="24"/>
    </row>
    <row r="2090" spans="2:2">
      <c r="B2090" s="24"/>
    </row>
    <row r="2091" spans="2:2">
      <c r="B2091" s="24"/>
    </row>
    <row r="2092" spans="2:2">
      <c r="B2092" s="24"/>
    </row>
    <row r="2093" spans="2:2">
      <c r="B2093" s="24"/>
    </row>
    <row r="2094" spans="2:2">
      <c r="B2094" s="24"/>
    </row>
    <row r="2095" spans="2:2">
      <c r="B2095" s="24"/>
    </row>
    <row r="2096" spans="2:2">
      <c r="B2096" s="24"/>
    </row>
    <row r="2097" spans="2:2">
      <c r="B2097" s="24"/>
    </row>
    <row r="2098" spans="2:2">
      <c r="B2098" s="24"/>
    </row>
    <row r="2099" spans="2:2">
      <c r="B2099" s="24"/>
    </row>
    <row r="2100" spans="2:2">
      <c r="B2100" s="24"/>
    </row>
    <row r="2101" spans="2:2">
      <c r="B2101" s="24"/>
    </row>
    <row r="2102" spans="2:2">
      <c r="B2102" s="24"/>
    </row>
    <row r="2103" spans="2:2">
      <c r="B2103" s="24"/>
    </row>
    <row r="2104" spans="2:2">
      <c r="B2104" s="24"/>
    </row>
    <row r="2105" spans="2:2">
      <c r="B2105" s="24"/>
    </row>
    <row r="2106" spans="2:2">
      <c r="B2106" s="24"/>
    </row>
    <row r="2107" spans="2:2">
      <c r="B2107" s="24"/>
    </row>
    <row r="2108" spans="2:2">
      <c r="B2108" s="24"/>
    </row>
    <row r="2109" spans="2:2">
      <c r="B2109" s="24"/>
    </row>
    <row r="2110" spans="2:2">
      <c r="B2110" s="24"/>
    </row>
    <row r="2111" spans="2:2">
      <c r="B2111" s="24"/>
    </row>
    <row r="2112" spans="2:2">
      <c r="B2112" s="24"/>
    </row>
    <row r="2113" spans="2:2">
      <c r="B2113" s="24"/>
    </row>
    <row r="2114" spans="2:2">
      <c r="B2114" s="24"/>
    </row>
    <row r="2115" spans="2:2">
      <c r="B2115" s="24"/>
    </row>
    <row r="2116" spans="2:2">
      <c r="B2116" s="24"/>
    </row>
    <row r="2117" spans="2:2">
      <c r="B2117" s="24"/>
    </row>
    <row r="2118" spans="2:2">
      <c r="B2118" s="24"/>
    </row>
    <row r="2119" spans="2:2">
      <c r="B2119" s="24"/>
    </row>
    <row r="2120" spans="2:2">
      <c r="B2120" s="24"/>
    </row>
    <row r="2121" spans="2:2">
      <c r="B2121" s="24"/>
    </row>
    <row r="2122" spans="2:2">
      <c r="B2122" s="24"/>
    </row>
    <row r="2123" spans="2:2">
      <c r="B2123" s="24"/>
    </row>
    <row r="2124" spans="2:2">
      <c r="B2124" s="24"/>
    </row>
    <row r="2125" spans="2:2">
      <c r="B2125" s="24"/>
    </row>
    <row r="2126" spans="2:2">
      <c r="B2126" s="24"/>
    </row>
    <row r="2127" spans="2:2">
      <c r="B2127" s="24"/>
    </row>
    <row r="2128" spans="2:2">
      <c r="B2128" s="24"/>
    </row>
    <row r="2129" spans="2:2">
      <c r="B2129" s="24"/>
    </row>
    <row r="2130" spans="2:2">
      <c r="B2130" s="24"/>
    </row>
    <row r="2131" spans="2:2">
      <c r="B2131" s="24"/>
    </row>
    <row r="2132" spans="2:2">
      <c r="B2132" s="24"/>
    </row>
    <row r="2133" spans="2:2">
      <c r="B2133" s="24"/>
    </row>
    <row r="2134" spans="2:2">
      <c r="B2134" s="24"/>
    </row>
    <row r="2135" spans="2:2">
      <c r="B2135" s="24"/>
    </row>
    <row r="2136" spans="2:2">
      <c r="B2136" s="24"/>
    </row>
    <row r="2137" spans="2:2">
      <c r="B2137" s="24"/>
    </row>
    <row r="2138" spans="2:2">
      <c r="B2138" s="24"/>
    </row>
    <row r="2139" spans="2:2">
      <c r="B2139" s="24"/>
    </row>
    <row r="2140" spans="2:2">
      <c r="B2140" s="24"/>
    </row>
    <row r="2141" spans="2:2">
      <c r="B2141" s="24"/>
    </row>
    <row r="2142" spans="2:2">
      <c r="B2142" s="24"/>
    </row>
    <row r="2143" spans="2:2">
      <c r="B2143" s="24"/>
    </row>
    <row r="2144" spans="2:2">
      <c r="B2144" s="24"/>
    </row>
    <row r="2145" spans="2:2">
      <c r="B2145" s="24"/>
    </row>
    <row r="2146" spans="2:2">
      <c r="B2146" s="24"/>
    </row>
    <row r="2147" spans="2:2">
      <c r="B2147" s="24"/>
    </row>
    <row r="2148" spans="2:2">
      <c r="B2148" s="24"/>
    </row>
    <row r="2149" spans="2:2">
      <c r="B2149" s="24"/>
    </row>
    <row r="2150" spans="2:2">
      <c r="B2150" s="24"/>
    </row>
    <row r="2151" spans="2:2">
      <c r="B2151" s="24"/>
    </row>
    <row r="2152" spans="2:2">
      <c r="B2152" s="24"/>
    </row>
    <row r="2153" spans="2:2">
      <c r="B2153" s="24"/>
    </row>
    <row r="2154" spans="2:2">
      <c r="B2154" s="24"/>
    </row>
    <row r="2155" spans="2:2">
      <c r="B2155" s="24"/>
    </row>
    <row r="2156" spans="2:2">
      <c r="B2156" s="24"/>
    </row>
    <row r="2157" spans="2:2">
      <c r="B2157" s="24"/>
    </row>
    <row r="2158" spans="2:2">
      <c r="B2158" s="24"/>
    </row>
    <row r="2159" spans="2:2">
      <c r="B2159" s="24"/>
    </row>
    <row r="2160" spans="2:2">
      <c r="B2160" s="24"/>
    </row>
    <row r="2161" spans="2:2">
      <c r="B2161" s="24"/>
    </row>
    <row r="2162" spans="2:2">
      <c r="B2162" s="24"/>
    </row>
    <row r="2163" spans="2:2">
      <c r="B2163" s="24"/>
    </row>
    <row r="2164" spans="2:2">
      <c r="B2164" s="24"/>
    </row>
    <row r="2165" spans="2:2">
      <c r="B2165" s="24"/>
    </row>
    <row r="2166" spans="2:2">
      <c r="B2166" s="24"/>
    </row>
    <row r="2167" spans="2:2">
      <c r="B2167" s="24"/>
    </row>
    <row r="2168" spans="2:2">
      <c r="B2168" s="24"/>
    </row>
    <row r="2169" spans="2:2">
      <c r="B2169" s="24"/>
    </row>
    <row r="2170" spans="2:2">
      <c r="B2170" s="24"/>
    </row>
    <row r="2171" spans="2:2">
      <c r="B2171" s="24"/>
    </row>
    <row r="2172" spans="2:2">
      <c r="B2172" s="24"/>
    </row>
    <row r="2173" spans="2:2">
      <c r="B2173" s="24"/>
    </row>
    <row r="2174" spans="2:2">
      <c r="B2174" s="24"/>
    </row>
    <row r="2175" spans="2:2">
      <c r="B2175" s="24"/>
    </row>
    <row r="2176" spans="2:2">
      <c r="B2176" s="24"/>
    </row>
    <row r="2177" spans="2:2">
      <c r="B2177" s="24"/>
    </row>
    <row r="2178" spans="2:2">
      <c r="B2178" s="24"/>
    </row>
    <row r="2179" spans="2:2">
      <c r="B2179" s="24"/>
    </row>
    <row r="2180" spans="2:2">
      <c r="B2180" s="24"/>
    </row>
    <row r="2181" spans="2:2">
      <c r="B2181" s="24"/>
    </row>
    <row r="2182" spans="2:2">
      <c r="B2182" s="24"/>
    </row>
    <row r="2183" spans="2:2">
      <c r="B2183" s="24"/>
    </row>
    <row r="2184" spans="2:2">
      <c r="B2184" s="24"/>
    </row>
    <row r="2185" spans="2:2">
      <c r="B2185" s="24"/>
    </row>
    <row r="2186" spans="2:2">
      <c r="B2186" s="24"/>
    </row>
    <row r="2187" spans="2:2">
      <c r="B2187" s="24"/>
    </row>
    <row r="2188" spans="2:2">
      <c r="B2188" s="24"/>
    </row>
    <row r="2189" spans="2:2">
      <c r="B2189" s="24"/>
    </row>
    <row r="2190" spans="2:2">
      <c r="B2190" s="24"/>
    </row>
    <row r="2191" spans="2:2">
      <c r="B2191" s="24"/>
    </row>
    <row r="2192" spans="2:2">
      <c r="B2192" s="24"/>
    </row>
    <row r="2193" spans="2:2">
      <c r="B2193" s="24"/>
    </row>
    <row r="2194" spans="2:2">
      <c r="B2194" s="24"/>
    </row>
    <row r="2195" spans="2:2">
      <c r="B2195" s="24"/>
    </row>
    <row r="2196" spans="2:2">
      <c r="B2196" s="24"/>
    </row>
    <row r="2197" spans="2:2">
      <c r="B2197" s="24"/>
    </row>
    <row r="2198" spans="2:2">
      <c r="B2198" s="24"/>
    </row>
    <row r="2199" spans="2:2">
      <c r="B2199" s="24"/>
    </row>
    <row r="2200" spans="2:2">
      <c r="B2200" s="24"/>
    </row>
    <row r="2201" spans="2:2">
      <c r="B2201" s="24"/>
    </row>
    <row r="2202" spans="2:2">
      <c r="B2202" s="24"/>
    </row>
    <row r="2203" spans="2:2">
      <c r="B2203" s="24"/>
    </row>
    <row r="2204" spans="2:2">
      <c r="B2204" s="24"/>
    </row>
    <row r="2205" spans="2:2">
      <c r="B2205" s="24"/>
    </row>
    <row r="2206" spans="2:2">
      <c r="B2206" s="24"/>
    </row>
    <row r="2207" spans="2:2">
      <c r="B2207" s="24"/>
    </row>
    <row r="2208" spans="2:2">
      <c r="B2208" s="24"/>
    </row>
    <row r="2209" spans="2:2">
      <c r="B2209" s="24"/>
    </row>
    <row r="2210" spans="2:2">
      <c r="B2210" s="24"/>
    </row>
    <row r="2211" spans="2:2">
      <c r="B2211" s="24"/>
    </row>
    <row r="2212" spans="2:2">
      <c r="B2212" s="24"/>
    </row>
    <row r="2213" spans="2:2">
      <c r="B2213" s="24"/>
    </row>
    <row r="2214" spans="2:2">
      <c r="B2214" s="24"/>
    </row>
    <row r="2215" spans="2:2">
      <c r="B2215" s="24"/>
    </row>
    <row r="2216" spans="2:2">
      <c r="B2216" s="24"/>
    </row>
    <row r="2217" spans="2:2">
      <c r="B2217" s="24"/>
    </row>
    <row r="2218" spans="2:2">
      <c r="B2218" s="24"/>
    </row>
    <row r="2219" spans="2:2">
      <c r="B2219" s="24"/>
    </row>
    <row r="2220" spans="2:2">
      <c r="B2220" s="24"/>
    </row>
    <row r="2221" spans="2:2">
      <c r="B2221" s="24"/>
    </row>
    <row r="2222" spans="2:2">
      <c r="B2222" s="24"/>
    </row>
    <row r="2223" spans="2:2">
      <c r="B2223" s="24"/>
    </row>
    <row r="2224" spans="2:2">
      <c r="B2224" s="24"/>
    </row>
    <row r="2225" spans="2:2">
      <c r="B2225" s="24"/>
    </row>
    <row r="2226" spans="2:2">
      <c r="B2226" s="24"/>
    </row>
    <row r="2227" spans="2:2">
      <c r="B2227" s="24"/>
    </row>
    <row r="2228" spans="2:2">
      <c r="B2228" s="24"/>
    </row>
    <row r="2229" spans="2:2">
      <c r="B2229" s="24"/>
    </row>
    <row r="2230" spans="2:2">
      <c r="B2230" s="24"/>
    </row>
    <row r="2231" spans="2:2">
      <c r="B2231" s="24"/>
    </row>
    <row r="2232" spans="2:2">
      <c r="B2232" s="24"/>
    </row>
    <row r="2233" spans="2:2">
      <c r="B2233" s="24"/>
    </row>
    <row r="2234" spans="2:2">
      <c r="B2234" s="24"/>
    </row>
    <row r="2235" spans="2:2">
      <c r="B2235" s="24"/>
    </row>
    <row r="2236" spans="2:2">
      <c r="B2236" s="24"/>
    </row>
    <row r="2237" spans="2:2">
      <c r="B2237" s="24"/>
    </row>
    <row r="2238" spans="2:2">
      <c r="B2238" s="24"/>
    </row>
    <row r="2239" spans="2:2">
      <c r="B2239" s="24"/>
    </row>
    <row r="2240" spans="2:2">
      <c r="B2240" s="24"/>
    </row>
    <row r="2241" spans="2:2">
      <c r="B2241" s="24"/>
    </row>
    <row r="2242" spans="2:2">
      <c r="B2242" s="24"/>
    </row>
    <row r="2243" spans="2:2">
      <c r="B2243" s="24"/>
    </row>
    <row r="2244" spans="2:2">
      <c r="B2244" s="24"/>
    </row>
    <row r="2245" spans="2:2">
      <c r="B2245" s="24"/>
    </row>
    <row r="2246" spans="2:2">
      <c r="B2246" s="24"/>
    </row>
    <row r="2247" spans="2:2">
      <c r="B2247" s="24"/>
    </row>
    <row r="2248" spans="2:2">
      <c r="B2248" s="24"/>
    </row>
    <row r="2249" spans="2:2">
      <c r="B2249" s="24"/>
    </row>
    <row r="2250" spans="2:2">
      <c r="B2250" s="24"/>
    </row>
    <row r="2251" spans="2:2">
      <c r="B2251" s="24"/>
    </row>
    <row r="2252" spans="2:2">
      <c r="B2252" s="24"/>
    </row>
    <row r="2253" spans="2:2">
      <c r="B2253" s="24"/>
    </row>
    <row r="2254" spans="2:2">
      <c r="B2254" s="24"/>
    </row>
    <row r="2255" spans="2:2">
      <c r="B2255" s="24"/>
    </row>
    <row r="2256" spans="2:2">
      <c r="B2256" s="24"/>
    </row>
    <row r="2257" spans="2:2">
      <c r="B2257" s="24"/>
    </row>
    <row r="2258" spans="2:2">
      <c r="B2258" s="24"/>
    </row>
    <row r="2259" spans="2:2">
      <c r="B2259" s="24"/>
    </row>
    <row r="2260" spans="2:2">
      <c r="B2260" s="24"/>
    </row>
    <row r="2261" spans="2:2">
      <c r="B2261" s="24"/>
    </row>
    <row r="2262" spans="2:2">
      <c r="B2262" s="24"/>
    </row>
    <row r="2263" spans="2:2">
      <c r="B2263" s="24"/>
    </row>
    <row r="2264" spans="2:2">
      <c r="B2264" s="24"/>
    </row>
    <row r="2265" spans="2:2">
      <c r="B2265" s="24"/>
    </row>
    <row r="2266" spans="2:2">
      <c r="B2266" s="24"/>
    </row>
    <row r="2267" spans="2:2">
      <c r="B2267" s="24"/>
    </row>
    <row r="2268" spans="2:2">
      <c r="B2268" s="24"/>
    </row>
    <row r="2269" spans="2:2">
      <c r="B2269" s="24"/>
    </row>
    <row r="2270" spans="2:2">
      <c r="B2270" s="24"/>
    </row>
    <row r="2271" spans="2:2">
      <c r="B2271" s="24"/>
    </row>
    <row r="2272" spans="2:2">
      <c r="B2272" s="24"/>
    </row>
    <row r="2273" spans="2:2">
      <c r="B2273" s="24"/>
    </row>
    <row r="2274" spans="2:2">
      <c r="B2274" s="24"/>
    </row>
    <row r="2275" spans="2:2">
      <c r="B2275" s="24"/>
    </row>
    <row r="2276" spans="2:2">
      <c r="B2276" s="24"/>
    </row>
    <row r="2277" spans="2:2">
      <c r="B2277" s="24"/>
    </row>
    <row r="2278" spans="2:2">
      <c r="B2278" s="24"/>
    </row>
    <row r="2279" spans="2:2">
      <c r="B2279" s="24"/>
    </row>
    <row r="2280" spans="2:2">
      <c r="B2280" s="24"/>
    </row>
    <row r="2281" spans="2:2">
      <c r="B2281" s="24"/>
    </row>
    <row r="2282" spans="2:2">
      <c r="B2282" s="24"/>
    </row>
    <row r="2283" spans="2:2">
      <c r="B2283" s="24"/>
    </row>
    <row r="2284" spans="2:2">
      <c r="B2284" s="24"/>
    </row>
    <row r="2285" spans="2:2">
      <c r="B2285" s="24"/>
    </row>
    <row r="2286" spans="2:2">
      <c r="B2286" s="24"/>
    </row>
    <row r="2287" spans="2:2">
      <c r="B2287" s="24"/>
    </row>
    <row r="2288" spans="2:2">
      <c r="B2288" s="24"/>
    </row>
    <row r="2289" spans="2:2">
      <c r="B2289" s="24"/>
    </row>
    <row r="2290" spans="2:2">
      <c r="B2290" s="24"/>
    </row>
    <row r="2291" spans="2:2">
      <c r="B2291" s="24"/>
    </row>
    <row r="2292" spans="2:2">
      <c r="B2292" s="24"/>
    </row>
    <row r="2293" spans="2:2">
      <c r="B2293" s="24"/>
    </row>
    <row r="2294" spans="2:2">
      <c r="B2294" s="24"/>
    </row>
    <row r="2295" spans="2:2">
      <c r="B2295" s="24"/>
    </row>
    <row r="2296" spans="2:2">
      <c r="B2296" s="24"/>
    </row>
    <row r="2297" spans="2:2">
      <c r="B2297" s="24"/>
    </row>
    <row r="2298" spans="2:2">
      <c r="B2298" s="24"/>
    </row>
    <row r="2299" spans="2:2">
      <c r="B2299" s="24"/>
    </row>
    <row r="2300" spans="2:2">
      <c r="B2300" s="24"/>
    </row>
    <row r="2301" spans="2:2">
      <c r="B2301" s="24"/>
    </row>
    <row r="2302" spans="2:2">
      <c r="B2302" s="24"/>
    </row>
    <row r="2303" spans="2:2">
      <c r="B2303" s="24"/>
    </row>
    <row r="2304" spans="2:2">
      <c r="B2304" s="24"/>
    </row>
    <row r="2305" spans="2:2">
      <c r="B2305" s="24"/>
    </row>
    <row r="2306" spans="2:2">
      <c r="B2306" s="24"/>
    </row>
    <row r="2307" spans="2:2">
      <c r="B2307" s="24"/>
    </row>
    <row r="2308" spans="2:2">
      <c r="B2308" s="24"/>
    </row>
    <row r="2309" spans="2:2">
      <c r="B2309" s="24"/>
    </row>
    <row r="2310" spans="2:2">
      <c r="B2310" s="24"/>
    </row>
    <row r="2311" spans="2:2">
      <c r="B2311" s="24"/>
    </row>
    <row r="2312" spans="2:2">
      <c r="B2312" s="24"/>
    </row>
    <row r="2313" spans="2:2">
      <c r="B2313" s="24"/>
    </row>
    <row r="2314" spans="2:2">
      <c r="B2314" s="24"/>
    </row>
    <row r="2315" spans="2:2">
      <c r="B2315" s="24"/>
    </row>
    <row r="2316" spans="2:2">
      <c r="B2316" s="24"/>
    </row>
    <row r="2317" spans="2:2">
      <c r="B2317" s="24"/>
    </row>
    <row r="2318" spans="2:2">
      <c r="B2318" s="24"/>
    </row>
    <row r="2319" spans="2:2">
      <c r="B2319" s="24"/>
    </row>
    <row r="2320" spans="2:2">
      <c r="B2320" s="24"/>
    </row>
    <row r="2321" spans="2:2">
      <c r="B2321" s="24"/>
    </row>
    <row r="2322" spans="2:2">
      <c r="B2322" s="24"/>
    </row>
    <row r="2323" spans="2:2">
      <c r="B2323" s="24"/>
    </row>
    <row r="2324" spans="2:2">
      <c r="B2324" s="24"/>
    </row>
    <row r="2325" spans="2:2">
      <c r="B2325" s="24"/>
    </row>
    <row r="2326" spans="2:2">
      <c r="B2326" s="24"/>
    </row>
    <row r="2327" spans="2:2">
      <c r="B2327" s="24"/>
    </row>
    <row r="2328" spans="2:2">
      <c r="B2328" s="24"/>
    </row>
    <row r="2329" spans="2:2">
      <c r="B2329" s="24"/>
    </row>
    <row r="2330" spans="2:2">
      <c r="B2330" s="24"/>
    </row>
    <row r="2331" spans="2:2">
      <c r="B2331" s="24"/>
    </row>
    <row r="2332" spans="2:2">
      <c r="B2332" s="24"/>
    </row>
    <row r="2333" spans="2:2">
      <c r="B2333" s="24"/>
    </row>
    <row r="2334" spans="2:2">
      <c r="B2334" s="24"/>
    </row>
    <row r="2335" spans="2:2">
      <c r="B2335" s="24"/>
    </row>
    <row r="2336" spans="2:2">
      <c r="B2336" s="24"/>
    </row>
    <row r="2337" spans="2:2">
      <c r="B2337" s="24"/>
    </row>
    <row r="2338" spans="2:2">
      <c r="B2338" s="24"/>
    </row>
    <row r="2339" spans="2:2">
      <c r="B2339" s="24"/>
    </row>
    <row r="2340" spans="2:2">
      <c r="B2340" s="24"/>
    </row>
    <row r="2341" spans="2:2">
      <c r="B2341" s="24"/>
    </row>
    <row r="2342" spans="2:2">
      <c r="B2342" s="24"/>
    </row>
    <row r="2343" spans="2:2">
      <c r="B2343" s="24"/>
    </row>
    <row r="2344" spans="2:2">
      <c r="B2344" s="24"/>
    </row>
    <row r="2345" spans="2:2">
      <c r="B2345" s="24"/>
    </row>
    <row r="2346" spans="2:2">
      <c r="B2346" s="24"/>
    </row>
    <row r="2347" spans="2:2">
      <c r="B2347" s="24"/>
    </row>
    <row r="2348" spans="2:2">
      <c r="B2348" s="24"/>
    </row>
    <row r="2349" spans="2:2">
      <c r="B2349" s="24"/>
    </row>
    <row r="2350" spans="2:2">
      <c r="B2350" s="24"/>
    </row>
    <row r="2351" spans="2:2">
      <c r="B2351" s="24"/>
    </row>
    <row r="2352" spans="2:2">
      <c r="B2352" s="24"/>
    </row>
    <row r="2353" spans="2:2">
      <c r="B2353" s="24"/>
    </row>
    <row r="2354" spans="2:2">
      <c r="B2354" s="24"/>
    </row>
    <row r="2355" spans="2:2">
      <c r="B2355" s="24"/>
    </row>
    <row r="2356" spans="2:2">
      <c r="B2356" s="24"/>
    </row>
    <row r="2357" spans="2:2">
      <c r="B2357" s="24"/>
    </row>
    <row r="2358" spans="2:2">
      <c r="B2358" s="24"/>
    </row>
    <row r="2359" spans="2:2">
      <c r="B2359" s="24"/>
    </row>
    <row r="2360" spans="2:2">
      <c r="B2360" s="24"/>
    </row>
    <row r="2361" spans="2:2">
      <c r="B2361" s="24"/>
    </row>
    <row r="2362" spans="2:2">
      <c r="B2362" s="24"/>
    </row>
    <row r="2363" spans="2:2">
      <c r="B2363" s="24"/>
    </row>
    <row r="2364" spans="2:2">
      <c r="B2364" s="24"/>
    </row>
    <row r="2365" spans="2:2">
      <c r="B2365" s="24"/>
    </row>
    <row r="2366" spans="2:2">
      <c r="B2366" s="24"/>
    </row>
    <row r="2367" spans="2:2">
      <c r="B2367" s="24"/>
    </row>
    <row r="2368" spans="2:2">
      <c r="B2368" s="24"/>
    </row>
    <row r="2369" spans="2:2">
      <c r="B2369" s="24"/>
    </row>
    <row r="2370" spans="2:2">
      <c r="B2370" s="24"/>
    </row>
    <row r="2371" spans="2:2">
      <c r="B2371" s="24"/>
    </row>
    <row r="2372" spans="2:2">
      <c r="B2372" s="24"/>
    </row>
    <row r="2373" spans="2:2">
      <c r="B2373" s="24"/>
    </row>
    <row r="2374" spans="2:2">
      <c r="B2374" s="24"/>
    </row>
    <row r="2375" spans="2:2">
      <c r="B2375" s="24"/>
    </row>
    <row r="2376" spans="2:2">
      <c r="B2376" s="24"/>
    </row>
    <row r="2377" spans="2:2">
      <c r="B2377" s="24"/>
    </row>
    <row r="2378" spans="2:2">
      <c r="B2378" s="24"/>
    </row>
    <row r="2379" spans="2:2">
      <c r="B2379" s="24"/>
    </row>
    <row r="2380" spans="2:2">
      <c r="B2380" s="24"/>
    </row>
    <row r="2381" spans="2:2">
      <c r="B2381" s="24"/>
    </row>
    <row r="2382" spans="2:2">
      <c r="B2382" s="24"/>
    </row>
    <row r="2383" spans="2:2">
      <c r="B2383" s="24"/>
    </row>
    <row r="2384" spans="2:2">
      <c r="B2384" s="24"/>
    </row>
    <row r="2385" spans="2:2">
      <c r="B2385" s="24"/>
    </row>
    <row r="2386" spans="2:2">
      <c r="B2386" s="24"/>
    </row>
    <row r="2387" spans="2:2">
      <c r="B2387" s="24"/>
    </row>
    <row r="2388" spans="2:2">
      <c r="B2388" s="24"/>
    </row>
    <row r="2389" spans="2:2">
      <c r="B2389" s="24"/>
    </row>
    <row r="2390" spans="2:2">
      <c r="B2390" s="24"/>
    </row>
    <row r="2391" spans="2:2">
      <c r="B2391" s="24"/>
    </row>
    <row r="2392" spans="2:2">
      <c r="B2392" s="24"/>
    </row>
    <row r="2393" spans="2:2">
      <c r="B2393" s="24"/>
    </row>
    <row r="2394" spans="2:2">
      <c r="B2394" s="24"/>
    </row>
    <row r="2395" spans="2:2">
      <c r="B2395" s="24"/>
    </row>
    <row r="2396" spans="2:2">
      <c r="B2396" s="24"/>
    </row>
    <row r="2397" spans="2:2">
      <c r="B2397" s="24"/>
    </row>
    <row r="2398" spans="2:2">
      <c r="B2398" s="24"/>
    </row>
    <row r="2399" spans="2:2">
      <c r="B2399" s="24"/>
    </row>
    <row r="2400" spans="2:2">
      <c r="B2400" s="24"/>
    </row>
    <row r="2401" spans="2:2">
      <c r="B2401" s="24"/>
    </row>
    <row r="2402" spans="2:2">
      <c r="B2402" s="24"/>
    </row>
    <row r="2403" spans="2:2">
      <c r="B2403" s="24"/>
    </row>
    <row r="2404" spans="2:2">
      <c r="B2404" s="24"/>
    </row>
    <row r="2405" spans="2:2">
      <c r="B2405" s="24"/>
    </row>
    <row r="2406" spans="2:2">
      <c r="B2406" s="24"/>
    </row>
    <row r="2407" spans="2:2">
      <c r="B2407" s="24"/>
    </row>
    <row r="2408" spans="2:2">
      <c r="B2408" s="24"/>
    </row>
    <row r="2409" spans="2:2">
      <c r="B2409" s="24"/>
    </row>
    <row r="2410" spans="2:2">
      <c r="B2410" s="24"/>
    </row>
    <row r="2411" spans="2:2">
      <c r="B2411" s="24"/>
    </row>
    <row r="2412" spans="2:2">
      <c r="B2412" s="24"/>
    </row>
    <row r="2413" spans="2:2">
      <c r="B2413" s="24"/>
    </row>
    <row r="2414" spans="2:2">
      <c r="B2414" s="24"/>
    </row>
    <row r="2415" spans="2:2">
      <c r="B2415" s="24"/>
    </row>
    <row r="2416" spans="2:2">
      <c r="B2416" s="24"/>
    </row>
    <row r="2417" spans="2:2">
      <c r="B2417" s="24"/>
    </row>
    <row r="2418" spans="2:2">
      <c r="B2418" s="24"/>
    </row>
    <row r="2419" spans="2:2">
      <c r="B2419" s="24"/>
    </row>
    <row r="2420" spans="2:2">
      <c r="B2420" s="24"/>
    </row>
    <row r="2421" spans="2:2">
      <c r="B2421" s="24"/>
    </row>
    <row r="2422" spans="2:2">
      <c r="B2422" s="24"/>
    </row>
    <row r="2423" spans="2:2">
      <c r="B2423" s="24"/>
    </row>
    <row r="2424" spans="2:2">
      <c r="B2424" s="24"/>
    </row>
    <row r="2425" spans="2:2">
      <c r="B2425" s="24"/>
    </row>
    <row r="2426" spans="2:2">
      <c r="B2426" s="24"/>
    </row>
    <row r="2427" spans="2:2">
      <c r="B2427" s="24"/>
    </row>
    <row r="2428" spans="2:2">
      <c r="B2428" s="24"/>
    </row>
    <row r="2429" spans="2:2">
      <c r="B2429" s="24"/>
    </row>
    <row r="2430" spans="2:2">
      <c r="B2430" s="24"/>
    </row>
    <row r="2431" spans="2:2">
      <c r="B2431" s="24"/>
    </row>
    <row r="2432" spans="2:2">
      <c r="B2432" s="24"/>
    </row>
    <row r="2433" spans="2:2">
      <c r="B2433" s="24"/>
    </row>
    <row r="2434" spans="2:2">
      <c r="B2434" s="24"/>
    </row>
    <row r="2435" spans="2:2">
      <c r="B2435" s="24"/>
    </row>
    <row r="2436" spans="2:2">
      <c r="B2436" s="24"/>
    </row>
    <row r="2437" spans="2:2">
      <c r="B2437" s="24"/>
    </row>
    <row r="2438" spans="2:2">
      <c r="B2438" s="24"/>
    </row>
    <row r="2439" spans="2:2">
      <c r="B2439" s="24"/>
    </row>
    <row r="2440" spans="2:2">
      <c r="B2440" s="24"/>
    </row>
    <row r="2441" spans="2:2">
      <c r="B2441" s="24"/>
    </row>
    <row r="2442" spans="2:2">
      <c r="B2442" s="24"/>
    </row>
    <row r="2443" spans="2:2">
      <c r="B2443" s="24"/>
    </row>
    <row r="2444" spans="2:2">
      <c r="B2444" s="24"/>
    </row>
    <row r="2445" spans="2:2">
      <c r="B2445" s="24"/>
    </row>
    <row r="2446" spans="2:2">
      <c r="B2446" s="24"/>
    </row>
    <row r="2447" spans="2:2">
      <c r="B2447" s="24"/>
    </row>
    <row r="2448" spans="2:2">
      <c r="B2448" s="24"/>
    </row>
    <row r="2449" spans="2:2">
      <c r="B2449" s="24"/>
    </row>
    <row r="2450" spans="2:2">
      <c r="B2450" s="24"/>
    </row>
    <row r="2451" spans="2:2">
      <c r="B2451" s="24"/>
    </row>
    <row r="2452" spans="2:2">
      <c r="B2452" s="24"/>
    </row>
    <row r="2453" spans="2:2">
      <c r="B2453" s="24"/>
    </row>
    <row r="2454" spans="2:2">
      <c r="B2454" s="24"/>
    </row>
    <row r="2455" spans="2:2">
      <c r="B2455" s="24"/>
    </row>
    <row r="2456" spans="2:2">
      <c r="B2456" s="24"/>
    </row>
    <row r="2457" spans="2:2">
      <c r="B2457" s="24"/>
    </row>
    <row r="2458" spans="2:2">
      <c r="B2458" s="24"/>
    </row>
    <row r="2459" spans="2:2">
      <c r="B2459" s="24"/>
    </row>
    <row r="2460" spans="2:2">
      <c r="B2460" s="24"/>
    </row>
    <row r="2461" spans="2:2">
      <c r="B2461" s="24"/>
    </row>
    <row r="2462" spans="2:2">
      <c r="B2462" s="24"/>
    </row>
    <row r="2463" spans="2:2">
      <c r="B2463" s="24"/>
    </row>
    <row r="2464" spans="2:2">
      <c r="B2464" s="24"/>
    </row>
    <row r="2465" spans="2:2">
      <c r="B2465" s="24"/>
    </row>
    <row r="2466" spans="2:2">
      <c r="B2466" s="24"/>
    </row>
    <row r="2467" spans="2:2">
      <c r="B2467" s="24"/>
    </row>
    <row r="2468" spans="2:2">
      <c r="B2468" s="24"/>
    </row>
    <row r="2469" spans="2:2">
      <c r="B2469" s="24"/>
    </row>
    <row r="2470" spans="2:2">
      <c r="B2470" s="24"/>
    </row>
    <row r="2471" spans="2:2">
      <c r="B2471" s="24"/>
    </row>
    <row r="2472" spans="2:2">
      <c r="B2472" s="24"/>
    </row>
    <row r="2473" spans="2:2">
      <c r="B2473" s="24"/>
    </row>
    <row r="2474" spans="2:2">
      <c r="B2474" s="24"/>
    </row>
    <row r="2475" spans="2:2">
      <c r="B2475" s="24"/>
    </row>
    <row r="2476" spans="2:2">
      <c r="B2476" s="24"/>
    </row>
    <row r="2477" spans="2:2">
      <c r="B2477" s="24"/>
    </row>
    <row r="2478" spans="2:2">
      <c r="B2478" s="24"/>
    </row>
    <row r="2479" spans="2:2">
      <c r="B2479" s="24"/>
    </row>
    <row r="2480" spans="2:2">
      <c r="B2480" s="24"/>
    </row>
    <row r="2481" spans="2:2">
      <c r="B2481" s="24"/>
    </row>
    <row r="2482" spans="2:2">
      <c r="B2482" s="24"/>
    </row>
    <row r="2483" spans="2:2">
      <c r="B2483" s="24"/>
    </row>
    <row r="2484" spans="2:2">
      <c r="B2484" s="24"/>
    </row>
    <row r="2485" spans="2:2">
      <c r="B2485" s="24"/>
    </row>
    <row r="2486" spans="2:2">
      <c r="B2486" s="24"/>
    </row>
    <row r="2487" spans="2:2">
      <c r="B2487" s="24"/>
    </row>
    <row r="2488" spans="2:2">
      <c r="B2488" s="24"/>
    </row>
    <row r="2489" spans="2:2">
      <c r="B2489" s="24"/>
    </row>
    <row r="2490" spans="2:2">
      <c r="B2490" s="24"/>
    </row>
    <row r="2491" spans="2:2">
      <c r="B2491" s="24"/>
    </row>
    <row r="2492" spans="2:2">
      <c r="B2492" s="24"/>
    </row>
    <row r="2493" spans="2:2">
      <c r="B2493" s="24"/>
    </row>
    <row r="2494" spans="2:2">
      <c r="B2494" s="24"/>
    </row>
    <row r="2495" spans="2:2">
      <c r="B2495" s="24"/>
    </row>
    <row r="2496" spans="2:2">
      <c r="B2496" s="24"/>
    </row>
    <row r="2497" spans="2:2">
      <c r="B2497" s="24"/>
    </row>
    <row r="2498" spans="2:2">
      <c r="B2498" s="24"/>
    </row>
    <row r="2499" spans="2:2">
      <c r="B2499" s="24"/>
    </row>
    <row r="2500" spans="2:2">
      <c r="B2500" s="24"/>
    </row>
    <row r="2501" spans="2:2">
      <c r="B2501" s="24"/>
    </row>
    <row r="2502" spans="2:2">
      <c r="B2502" s="24"/>
    </row>
    <row r="2503" spans="2:2">
      <c r="B2503" s="24"/>
    </row>
    <row r="2504" spans="2:2">
      <c r="B2504" s="24"/>
    </row>
    <row r="2505" spans="2:2">
      <c r="B2505" s="24"/>
    </row>
    <row r="2506" spans="2:2">
      <c r="B2506" s="24"/>
    </row>
    <row r="2507" spans="2:2">
      <c r="B2507" s="24"/>
    </row>
    <row r="2508" spans="2:2">
      <c r="B2508" s="24"/>
    </row>
    <row r="2509" spans="2:2">
      <c r="B2509" s="24"/>
    </row>
    <row r="2510" spans="2:2">
      <c r="B2510" s="24"/>
    </row>
    <row r="2511" spans="2:2">
      <c r="B2511" s="24"/>
    </row>
    <row r="2512" spans="2:2">
      <c r="B2512" s="24"/>
    </row>
    <row r="2513" spans="2:2">
      <c r="B2513" s="24"/>
    </row>
    <row r="2514" spans="2:2">
      <c r="B2514" s="24"/>
    </row>
    <row r="2515" spans="2:2">
      <c r="B2515" s="24"/>
    </row>
    <row r="2516" spans="2:2">
      <c r="B2516" s="24"/>
    </row>
    <row r="2517" spans="2:2">
      <c r="B2517" s="24"/>
    </row>
    <row r="2518" spans="2:2">
      <c r="B2518" s="24"/>
    </row>
    <row r="2519" spans="2:2">
      <c r="B2519" s="24"/>
    </row>
    <row r="2520" spans="2:2">
      <c r="B2520" s="24"/>
    </row>
    <row r="2521" spans="2:2">
      <c r="B2521" s="24"/>
    </row>
    <row r="2522" spans="2:2">
      <c r="B2522" s="24"/>
    </row>
    <row r="2523" spans="2:2">
      <c r="B2523" s="24"/>
    </row>
    <row r="2524" spans="2:2">
      <c r="B2524" s="24"/>
    </row>
    <row r="2525" spans="2:2">
      <c r="B2525" s="24"/>
    </row>
    <row r="2526" spans="2:2">
      <c r="B2526" s="24"/>
    </row>
    <row r="2527" spans="2:2">
      <c r="B2527" s="24"/>
    </row>
    <row r="2528" spans="2:2">
      <c r="B2528" s="24"/>
    </row>
    <row r="2529" spans="2:2">
      <c r="B2529" s="24"/>
    </row>
    <row r="2530" spans="2:2">
      <c r="B2530" s="24"/>
    </row>
    <row r="2531" spans="2:2">
      <c r="B2531" s="24"/>
    </row>
    <row r="2532" spans="2:2">
      <c r="B2532" s="24"/>
    </row>
    <row r="2533" spans="2:2">
      <c r="B2533" s="24"/>
    </row>
    <row r="2534" spans="2:2">
      <c r="B2534" s="24"/>
    </row>
    <row r="2535" spans="2:2">
      <c r="B2535" s="24"/>
    </row>
    <row r="2536" spans="2:2">
      <c r="B2536" s="24"/>
    </row>
    <row r="2537" spans="2:2">
      <c r="B2537" s="24"/>
    </row>
    <row r="2538" spans="2:2">
      <c r="B2538" s="24"/>
    </row>
    <row r="2539" spans="2:2">
      <c r="B2539" s="24"/>
    </row>
    <row r="2540" spans="2:2">
      <c r="B2540" s="24"/>
    </row>
    <row r="2541" spans="2:2">
      <c r="B2541" s="24"/>
    </row>
    <row r="2542" spans="2:2">
      <c r="B2542" s="24"/>
    </row>
    <row r="2543" spans="2:2">
      <c r="B2543" s="24"/>
    </row>
    <row r="2544" spans="2:2">
      <c r="B2544" s="24"/>
    </row>
    <row r="2545" spans="2:2">
      <c r="B2545" s="24"/>
    </row>
    <row r="2546" spans="2:2">
      <c r="B2546" s="24"/>
    </row>
    <row r="2547" spans="2:2">
      <c r="B2547" s="24"/>
    </row>
    <row r="2548" spans="2:2">
      <c r="B2548" s="24"/>
    </row>
    <row r="2549" spans="2:2">
      <c r="B2549" s="24"/>
    </row>
    <row r="2550" spans="2:2">
      <c r="B2550" s="24"/>
    </row>
    <row r="2551" spans="2:2">
      <c r="B2551" s="24"/>
    </row>
    <row r="2552" spans="2:2">
      <c r="B2552" s="24"/>
    </row>
    <row r="2553" spans="2:2">
      <c r="B2553" s="24"/>
    </row>
    <row r="2554" spans="2:2">
      <c r="B2554" s="24"/>
    </row>
    <row r="2555" spans="2:2">
      <c r="B2555" s="24"/>
    </row>
    <row r="2556" spans="2:2">
      <c r="B2556" s="24"/>
    </row>
    <row r="2557" spans="2:2">
      <c r="B2557" s="24"/>
    </row>
    <row r="2558" spans="2:2">
      <c r="B2558" s="24"/>
    </row>
    <row r="2559" spans="2:2">
      <c r="B2559" s="24"/>
    </row>
    <row r="2560" spans="2:2">
      <c r="B2560" s="24"/>
    </row>
    <row r="2561" spans="2:2">
      <c r="B2561" s="24"/>
    </row>
    <row r="2562" spans="2:2">
      <c r="B2562" s="24"/>
    </row>
    <row r="2563" spans="2:2">
      <c r="B2563" s="24"/>
    </row>
    <row r="2564" spans="2:2">
      <c r="B2564" s="24"/>
    </row>
    <row r="2565" spans="2:2">
      <c r="B2565" s="24"/>
    </row>
    <row r="2566" spans="2:2">
      <c r="B2566" s="24"/>
    </row>
    <row r="2567" spans="2:2">
      <c r="B2567" s="24"/>
    </row>
    <row r="2568" spans="2:2">
      <c r="B2568" s="24"/>
    </row>
    <row r="2569" spans="2:2">
      <c r="B2569" s="24"/>
    </row>
    <row r="2570" spans="2:2">
      <c r="B2570" s="24"/>
    </row>
    <row r="2571" spans="2:2">
      <c r="B2571" s="24"/>
    </row>
    <row r="2572" spans="2:2">
      <c r="B2572" s="24"/>
    </row>
    <row r="2573" spans="2:2">
      <c r="B2573" s="24"/>
    </row>
    <row r="2574" spans="2:2">
      <c r="B2574" s="24"/>
    </row>
    <row r="2575" spans="2:2">
      <c r="B2575" s="24"/>
    </row>
    <row r="2576" spans="2:2">
      <c r="B2576" s="24"/>
    </row>
    <row r="2577" spans="2:2">
      <c r="B2577" s="24"/>
    </row>
    <row r="2578" spans="2:2">
      <c r="B2578" s="24"/>
    </row>
    <row r="2579" spans="2:2">
      <c r="B2579" s="24"/>
    </row>
    <row r="2580" spans="2:2">
      <c r="B2580" s="24"/>
    </row>
    <row r="2581" spans="2:2">
      <c r="B2581" s="24"/>
    </row>
    <row r="2582" spans="2:2">
      <c r="B2582" s="24"/>
    </row>
    <row r="2583" spans="2:2">
      <c r="B2583" s="24"/>
    </row>
    <row r="2584" spans="2:2">
      <c r="B2584" s="24"/>
    </row>
    <row r="2585" spans="2:2">
      <c r="B2585" s="24"/>
    </row>
    <row r="2586" spans="2:2">
      <c r="B2586" s="24"/>
    </row>
    <row r="2587" spans="2:2">
      <c r="B2587" s="24"/>
    </row>
    <row r="2588" spans="2:2">
      <c r="B2588" s="24"/>
    </row>
    <row r="2589" spans="2:2">
      <c r="B2589" s="24"/>
    </row>
    <row r="2590" spans="2:2">
      <c r="B2590" s="24"/>
    </row>
    <row r="2591" spans="2:2">
      <c r="B2591" s="24"/>
    </row>
    <row r="2592" spans="2:2">
      <c r="B2592" s="24"/>
    </row>
    <row r="2593" spans="2:2">
      <c r="B2593" s="24"/>
    </row>
    <row r="2594" spans="2:2">
      <c r="B2594" s="24"/>
    </row>
    <row r="2595" spans="2:2">
      <c r="B2595" s="24"/>
    </row>
    <row r="2596" spans="2:2">
      <c r="B2596" s="24"/>
    </row>
    <row r="2597" spans="2:2">
      <c r="B2597" s="24"/>
    </row>
    <row r="2598" spans="2:2">
      <c r="B2598" s="24"/>
    </row>
    <row r="2599" spans="2:2">
      <c r="B2599" s="24"/>
    </row>
    <row r="2600" spans="2:2">
      <c r="B2600" s="24"/>
    </row>
    <row r="2601" spans="2:2">
      <c r="B2601" s="24"/>
    </row>
    <row r="2602" spans="2:2">
      <c r="B2602" s="24"/>
    </row>
    <row r="2603" spans="2:2">
      <c r="B2603" s="24"/>
    </row>
    <row r="2604" spans="2:2">
      <c r="B2604" s="24"/>
    </row>
    <row r="2605" spans="2:2">
      <c r="B2605" s="24"/>
    </row>
    <row r="2606" spans="2:2">
      <c r="B2606" s="24"/>
    </row>
    <row r="2607" spans="2:2">
      <c r="B2607" s="24"/>
    </row>
    <row r="2608" spans="2:2">
      <c r="B2608" s="24"/>
    </row>
    <row r="2609" spans="2:2">
      <c r="B2609" s="24"/>
    </row>
    <row r="2610" spans="2:2">
      <c r="B2610" s="24"/>
    </row>
    <row r="2611" spans="2:2">
      <c r="B2611" s="24"/>
    </row>
    <row r="2612" spans="2:2">
      <c r="B2612" s="24"/>
    </row>
    <row r="2613" spans="2:2">
      <c r="B2613" s="24"/>
    </row>
    <row r="2614" spans="2:2">
      <c r="B2614" s="24"/>
    </row>
    <row r="2615" spans="2:2">
      <c r="B2615" s="24"/>
    </row>
    <row r="2616" spans="2:2">
      <c r="B2616" s="24"/>
    </row>
    <row r="2617" spans="2:2">
      <c r="B2617" s="24"/>
    </row>
    <row r="2618" spans="2:2">
      <c r="B2618" s="24"/>
    </row>
    <row r="2619" spans="2:2">
      <c r="B2619" s="24"/>
    </row>
    <row r="2620" spans="2:2">
      <c r="B2620" s="24"/>
    </row>
    <row r="2621" spans="2:2">
      <c r="B2621" s="24"/>
    </row>
    <row r="2622" spans="2:2">
      <c r="B2622" s="24"/>
    </row>
    <row r="2623" spans="2:2">
      <c r="B2623" s="24"/>
    </row>
    <row r="2624" spans="2:2">
      <c r="B2624" s="24"/>
    </row>
    <row r="2625" spans="2:2">
      <c r="B2625" s="24"/>
    </row>
    <row r="2626" spans="2:2">
      <c r="B2626" s="24"/>
    </row>
    <row r="2627" spans="2:2">
      <c r="B2627" s="24"/>
    </row>
    <row r="2628" spans="2:2">
      <c r="B2628" s="24"/>
    </row>
    <row r="2629" spans="2:2">
      <c r="B2629" s="24"/>
    </row>
    <row r="2630" spans="2:2">
      <c r="B2630" s="24"/>
    </row>
    <row r="2631" spans="2:2">
      <c r="B2631" s="24"/>
    </row>
    <row r="2632" spans="2:2">
      <c r="B2632" s="24"/>
    </row>
    <row r="2633" spans="2:2">
      <c r="B2633" s="24"/>
    </row>
    <row r="2634" spans="2:2">
      <c r="B2634" s="24"/>
    </row>
    <row r="2635" spans="2:2">
      <c r="B2635" s="24"/>
    </row>
    <row r="2636" spans="2:2">
      <c r="B2636" s="24"/>
    </row>
    <row r="2637" spans="2:2">
      <c r="B2637" s="24"/>
    </row>
    <row r="2638" spans="2:2">
      <c r="B2638" s="24"/>
    </row>
    <row r="2639" spans="2:2">
      <c r="B2639" s="24"/>
    </row>
    <row r="2640" spans="2:2">
      <c r="B2640" s="24"/>
    </row>
    <row r="2641" spans="2:2">
      <c r="B2641" s="24"/>
    </row>
    <row r="2642" spans="2:2">
      <c r="B2642" s="24"/>
    </row>
    <row r="2643" spans="2:2">
      <c r="B2643" s="24"/>
    </row>
    <row r="2644" spans="2:2">
      <c r="B2644" s="24"/>
    </row>
    <row r="2645" spans="2:2">
      <c r="B2645" s="24"/>
    </row>
    <row r="2646" spans="2:2">
      <c r="B2646" s="24"/>
    </row>
    <row r="2647" spans="2:2">
      <c r="B2647" s="24"/>
    </row>
    <row r="2648" spans="2:2">
      <c r="B2648" s="24"/>
    </row>
    <row r="2649" spans="2:2">
      <c r="B2649" s="24"/>
    </row>
    <row r="2650" spans="2:2">
      <c r="B2650" s="24"/>
    </row>
    <row r="2651" spans="2:2">
      <c r="B2651" s="24"/>
    </row>
    <row r="2652" spans="2:2">
      <c r="B2652" s="24"/>
    </row>
    <row r="2653" spans="2:2">
      <c r="B2653" s="24"/>
    </row>
    <row r="2654" spans="2:2">
      <c r="B2654" s="24"/>
    </row>
    <row r="2655" spans="2:2">
      <c r="B2655" s="24"/>
    </row>
    <row r="2656" spans="2:2">
      <c r="B2656" s="24"/>
    </row>
    <row r="2657" spans="2:2">
      <c r="B2657" s="24"/>
    </row>
    <row r="2658" spans="2:2">
      <c r="B2658" s="24"/>
    </row>
    <row r="2659" spans="2:2">
      <c r="B2659" s="24"/>
    </row>
    <row r="2660" spans="2:2">
      <c r="B2660" s="24"/>
    </row>
    <row r="2661" spans="2:2">
      <c r="B2661" s="24"/>
    </row>
    <row r="2662" spans="2:2">
      <c r="B2662" s="24"/>
    </row>
    <row r="2663" spans="2:2">
      <c r="B2663" s="24"/>
    </row>
    <row r="2664" spans="2:2">
      <c r="B2664" s="24"/>
    </row>
    <row r="2665" spans="2:2">
      <c r="B2665" s="24"/>
    </row>
    <row r="2666" spans="2:2">
      <c r="B2666" s="24"/>
    </row>
    <row r="2667" spans="2:2">
      <c r="B2667" s="24"/>
    </row>
    <row r="2668" spans="2:2">
      <c r="B2668" s="24"/>
    </row>
    <row r="2669" spans="2:2">
      <c r="B2669" s="24"/>
    </row>
    <row r="2670" spans="2:2">
      <c r="B2670" s="24"/>
    </row>
    <row r="2671" spans="2:2">
      <c r="B2671" s="24"/>
    </row>
    <row r="2672" spans="2:2">
      <c r="B2672" s="24"/>
    </row>
    <row r="2673" spans="2:2">
      <c r="B2673" s="24"/>
    </row>
    <row r="2674" spans="2:2">
      <c r="B2674" s="24"/>
    </row>
    <row r="2675" spans="2:2">
      <c r="B2675" s="24"/>
    </row>
    <row r="2676" spans="2:2">
      <c r="B2676" s="24"/>
    </row>
    <row r="2677" spans="2:2">
      <c r="B2677" s="24"/>
    </row>
    <row r="2678" spans="2:2">
      <c r="B2678" s="24"/>
    </row>
    <row r="2679" spans="2:2">
      <c r="B2679" s="24"/>
    </row>
    <row r="2680" spans="2:2">
      <c r="B2680" s="24"/>
    </row>
    <row r="2681" spans="2:2">
      <c r="B2681" s="24"/>
    </row>
    <row r="2682" spans="2:2">
      <c r="B2682" s="24"/>
    </row>
    <row r="2683" spans="2:2">
      <c r="B2683" s="24"/>
    </row>
    <row r="2684" spans="2:2">
      <c r="B2684" s="24"/>
    </row>
    <row r="2685" spans="2:2">
      <c r="B2685" s="24"/>
    </row>
    <row r="2686" spans="2:2">
      <c r="B2686" s="24"/>
    </row>
    <row r="2687" spans="2:2">
      <c r="B2687" s="24"/>
    </row>
    <row r="2688" spans="2:2">
      <c r="B2688" s="24"/>
    </row>
    <row r="2689" spans="2:2">
      <c r="B2689" s="24"/>
    </row>
    <row r="2690" spans="2:2">
      <c r="B2690" s="24"/>
    </row>
    <row r="2691" spans="2:2">
      <c r="B2691" s="24"/>
    </row>
    <row r="2692" spans="2:2">
      <c r="B2692" s="24"/>
    </row>
    <row r="2693" spans="2:2">
      <c r="B2693" s="24"/>
    </row>
    <row r="2694" spans="2:2">
      <c r="B2694" s="24"/>
    </row>
    <row r="2695" spans="2:2">
      <c r="B2695" s="24"/>
    </row>
    <row r="2696" spans="2:2">
      <c r="B2696" s="24"/>
    </row>
    <row r="2697" spans="2:2">
      <c r="B2697" s="24"/>
    </row>
    <row r="2698" spans="2:2">
      <c r="B2698" s="24"/>
    </row>
    <row r="2699" spans="2:2">
      <c r="B2699" s="24"/>
    </row>
    <row r="2700" spans="2:2">
      <c r="B2700" s="24"/>
    </row>
    <row r="2701" spans="2:2">
      <c r="B2701" s="24"/>
    </row>
    <row r="2702" spans="2:2">
      <c r="B2702" s="24"/>
    </row>
    <row r="2703" spans="2:2">
      <c r="B2703" s="24"/>
    </row>
    <row r="2704" spans="2:2">
      <c r="B2704" s="24"/>
    </row>
    <row r="2705" spans="2:2">
      <c r="B2705" s="24"/>
    </row>
    <row r="2706" spans="2:2">
      <c r="B2706" s="24"/>
    </row>
    <row r="2707" spans="2:2">
      <c r="B2707" s="24"/>
    </row>
    <row r="2708" spans="2:2">
      <c r="B2708" s="24"/>
    </row>
    <row r="2709" spans="2:2">
      <c r="B2709" s="24"/>
    </row>
    <row r="2710" spans="2:2">
      <c r="B2710" s="24"/>
    </row>
    <row r="2711" spans="2:2">
      <c r="B2711" s="24"/>
    </row>
    <row r="2712" spans="2:2">
      <c r="B2712" s="24"/>
    </row>
    <row r="2713" spans="2:2">
      <c r="B2713" s="24"/>
    </row>
    <row r="2714" spans="2:2">
      <c r="B2714" s="24"/>
    </row>
    <row r="2715" spans="2:2">
      <c r="B2715" s="24"/>
    </row>
    <row r="2716" spans="2:2">
      <c r="B2716" s="24"/>
    </row>
    <row r="2717" spans="2:2">
      <c r="B2717" s="24"/>
    </row>
    <row r="2718" spans="2:2">
      <c r="B2718" s="24"/>
    </row>
    <row r="2719" spans="2:2">
      <c r="B2719" s="24"/>
    </row>
    <row r="2720" spans="2:2">
      <c r="B2720" s="24"/>
    </row>
    <row r="2721" spans="2:2">
      <c r="B2721" s="24"/>
    </row>
    <row r="2722" spans="2:2">
      <c r="B2722" s="24"/>
    </row>
    <row r="2723" spans="2:2">
      <c r="B2723" s="24"/>
    </row>
    <row r="2724" spans="2:2">
      <c r="B2724" s="24"/>
    </row>
    <row r="2725" spans="2:2">
      <c r="B2725" s="24"/>
    </row>
    <row r="2726" spans="2:2">
      <c r="B2726" s="24"/>
    </row>
    <row r="2727" spans="2:2">
      <c r="B2727" s="24"/>
    </row>
    <row r="2728" spans="2:2">
      <c r="B2728" s="24"/>
    </row>
    <row r="2729" spans="2:2">
      <c r="B2729" s="24"/>
    </row>
    <row r="2730" spans="2:2">
      <c r="B2730" s="24"/>
    </row>
    <row r="2731" spans="2:2">
      <c r="B2731" s="24"/>
    </row>
    <row r="2732" spans="2:2">
      <c r="B2732" s="24"/>
    </row>
    <row r="2733" spans="2:2">
      <c r="B2733" s="24"/>
    </row>
    <row r="2734" spans="2:2">
      <c r="B2734" s="24"/>
    </row>
    <row r="2735" spans="2:2">
      <c r="B2735" s="24"/>
    </row>
    <row r="2736" spans="2:2">
      <c r="B2736" s="24"/>
    </row>
    <row r="2737" spans="2:2">
      <c r="B2737" s="24"/>
    </row>
    <row r="2738" spans="2:2">
      <c r="B2738" s="24"/>
    </row>
    <row r="2739" spans="2:2">
      <c r="B2739" s="24"/>
    </row>
    <row r="2740" spans="2:2">
      <c r="B2740" s="24"/>
    </row>
    <row r="2741" spans="2:2">
      <c r="B2741" s="24"/>
    </row>
    <row r="2742" spans="2:2">
      <c r="B2742" s="24"/>
    </row>
    <row r="2743" spans="2:2">
      <c r="B2743" s="24"/>
    </row>
    <row r="2744" spans="2:2">
      <c r="B2744" s="24"/>
    </row>
    <row r="2745" spans="2:2">
      <c r="B2745" s="24"/>
    </row>
    <row r="2746" spans="2:2">
      <c r="B2746" s="24"/>
    </row>
    <row r="2747" spans="2:2">
      <c r="B2747" s="24"/>
    </row>
    <row r="2748" spans="2:2">
      <c r="B2748" s="24"/>
    </row>
    <row r="2749" spans="2:2">
      <c r="B2749" s="24"/>
    </row>
    <row r="2750" spans="2:2">
      <c r="B2750" s="24"/>
    </row>
    <row r="2751" spans="2:2">
      <c r="B2751" s="24"/>
    </row>
    <row r="2752" spans="2:2">
      <c r="B2752" s="24"/>
    </row>
    <row r="2753" spans="2:2">
      <c r="B2753" s="24"/>
    </row>
    <row r="2754" spans="2:2">
      <c r="B2754" s="24"/>
    </row>
    <row r="2755" spans="2:2">
      <c r="B2755" s="24"/>
    </row>
    <row r="2756" spans="2:2">
      <c r="B2756" s="24"/>
    </row>
    <row r="2757" spans="2:2">
      <c r="B2757" s="24"/>
    </row>
    <row r="2758" spans="2:2">
      <c r="B2758" s="24"/>
    </row>
    <row r="2759" spans="2:2">
      <c r="B2759" s="24"/>
    </row>
    <row r="2760" spans="2:2">
      <c r="B2760" s="24"/>
    </row>
    <row r="2761" spans="2:2">
      <c r="B2761" s="24"/>
    </row>
    <row r="2762" spans="2:2">
      <c r="B2762" s="24"/>
    </row>
    <row r="2763" spans="2:2">
      <c r="B2763" s="24"/>
    </row>
    <row r="2764" spans="2:2">
      <c r="B2764" s="24"/>
    </row>
    <row r="2765" spans="2:2">
      <c r="B2765" s="24"/>
    </row>
    <row r="2766" spans="2:2">
      <c r="B2766" s="24"/>
    </row>
    <row r="2767" spans="2:2">
      <c r="B2767" s="24"/>
    </row>
    <row r="2768" spans="2:2">
      <c r="B2768" s="24"/>
    </row>
    <row r="2769" spans="2:2">
      <c r="B2769" s="24"/>
    </row>
    <row r="2770" spans="2:2">
      <c r="B2770" s="24"/>
    </row>
    <row r="2771" spans="2:2">
      <c r="B2771" s="24"/>
    </row>
    <row r="2772" spans="2:2">
      <c r="B2772" s="24"/>
    </row>
    <row r="2773" spans="2:2">
      <c r="B2773" s="24"/>
    </row>
    <row r="2774" spans="2:2">
      <c r="B2774" s="24"/>
    </row>
    <row r="2775" spans="2:2">
      <c r="B2775" s="24"/>
    </row>
    <row r="2776" spans="2:2">
      <c r="B2776" s="24"/>
    </row>
    <row r="2777" spans="2:2">
      <c r="B2777" s="24"/>
    </row>
    <row r="2778" spans="2:2">
      <c r="B2778" s="24"/>
    </row>
    <row r="2779" spans="2:2">
      <c r="B2779" s="24"/>
    </row>
    <row r="2780" spans="2:2">
      <c r="B2780" s="24"/>
    </row>
    <row r="2781" spans="2:2">
      <c r="B2781" s="24"/>
    </row>
    <row r="2782" spans="2:2">
      <c r="B2782" s="24"/>
    </row>
    <row r="2783" spans="2:2">
      <c r="B2783" s="24"/>
    </row>
    <row r="2784" spans="2:2">
      <c r="B2784" s="24"/>
    </row>
    <row r="2785" spans="2:2">
      <c r="B2785" s="24"/>
    </row>
    <row r="2786" spans="2:2">
      <c r="B2786" s="24"/>
    </row>
    <row r="2787" spans="2:2">
      <c r="B2787" s="24"/>
    </row>
    <row r="2788" spans="2:2">
      <c r="B2788" s="24"/>
    </row>
    <row r="2789" spans="2:2">
      <c r="B2789" s="24"/>
    </row>
    <row r="2790" spans="2:2">
      <c r="B2790" s="24"/>
    </row>
    <row r="2791" spans="2:2">
      <c r="B2791" s="24"/>
    </row>
    <row r="2792" spans="2:2">
      <c r="B2792" s="24"/>
    </row>
    <row r="2793" spans="2:2">
      <c r="B2793" s="24"/>
    </row>
    <row r="2794" spans="2:2">
      <c r="B2794" s="24"/>
    </row>
    <row r="2795" spans="2:2">
      <c r="B2795" s="24"/>
    </row>
    <row r="2796" spans="2:2">
      <c r="B2796" s="24"/>
    </row>
    <row r="2797" spans="2:2">
      <c r="B2797" s="24"/>
    </row>
    <row r="2798" spans="2:2">
      <c r="B2798" s="24"/>
    </row>
    <row r="2799" spans="2:2">
      <c r="B2799" s="24"/>
    </row>
    <row r="2800" spans="2:2">
      <c r="B2800" s="24"/>
    </row>
    <row r="2801" spans="2:2">
      <c r="B2801" s="24"/>
    </row>
    <row r="2802" spans="2:2">
      <c r="B2802" s="24"/>
    </row>
    <row r="2803" spans="2:2">
      <c r="B2803" s="24"/>
    </row>
    <row r="2804" spans="2:2">
      <c r="B2804" s="24"/>
    </row>
    <row r="2805" spans="2:2">
      <c r="B2805" s="24"/>
    </row>
    <row r="2806" spans="2:2">
      <c r="B2806" s="24"/>
    </row>
    <row r="2807" spans="2:2">
      <c r="B2807" s="24"/>
    </row>
    <row r="2808" spans="2:2">
      <c r="B2808" s="24"/>
    </row>
    <row r="2809" spans="2:2">
      <c r="B2809" s="24"/>
    </row>
    <row r="2810" spans="2:2">
      <c r="B2810" s="24"/>
    </row>
    <row r="2811" spans="2:2">
      <c r="B2811" s="24"/>
    </row>
    <row r="2812" spans="2:2">
      <c r="B2812" s="24"/>
    </row>
    <row r="2813" spans="2:2">
      <c r="B2813" s="24"/>
    </row>
    <row r="2814" spans="2:2">
      <c r="B2814" s="24"/>
    </row>
    <row r="2815" spans="2:2">
      <c r="B2815" s="24"/>
    </row>
    <row r="2816" spans="2:2">
      <c r="B2816" s="24"/>
    </row>
    <row r="2817" spans="2:2">
      <c r="B2817" s="24"/>
    </row>
    <row r="2818" spans="2:2">
      <c r="B2818" s="24"/>
    </row>
    <row r="2819" spans="2:2">
      <c r="B2819" s="24"/>
    </row>
    <row r="2820" spans="2:2">
      <c r="B2820" s="24"/>
    </row>
    <row r="2821" spans="2:2">
      <c r="B2821" s="24"/>
    </row>
    <row r="2822" spans="2:2">
      <c r="B2822" s="24"/>
    </row>
    <row r="2823" spans="2:2">
      <c r="B2823" s="24"/>
    </row>
    <row r="2824" spans="2:2">
      <c r="B2824" s="24"/>
    </row>
    <row r="2825" spans="2:2">
      <c r="B2825" s="24"/>
    </row>
    <row r="2826" spans="2:2">
      <c r="B2826" s="24"/>
    </row>
    <row r="2827" spans="2:2">
      <c r="B2827" s="24"/>
    </row>
    <row r="2828" spans="2:2">
      <c r="B2828" s="24"/>
    </row>
    <row r="2829" spans="2:2">
      <c r="B2829" s="24"/>
    </row>
    <row r="2830" spans="2:2">
      <c r="B2830" s="24"/>
    </row>
    <row r="2831" spans="2:2">
      <c r="B2831" s="24"/>
    </row>
    <row r="2832" spans="2:2">
      <c r="B2832" s="24"/>
    </row>
    <row r="2833" spans="2:2">
      <c r="B2833" s="24"/>
    </row>
  </sheetData>
  <phoneticPr fontId="3" type="noConversion"/>
  <dataValidations count="1">
    <dataValidation type="custom" allowBlank="1" showInputMessage="1" showErrorMessage="1" sqref="B2:B1048576" xr:uid="{E0C112C2-06FE-4741-934E-3505F2926ED1}">
      <formula1>OR(B2="cmol_mol-1", B2="mol_mol-1")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2201-7419-4060-AE97-86C6990EE3C3}">
  <sheetPr>
    <tabColor theme="5" tint="0.79998168889431442"/>
  </sheetPr>
  <dimension ref="A1:G4"/>
  <sheetViews>
    <sheetView workbookViewId="0">
      <selection activeCell="K17" sqref="K17"/>
    </sheetView>
  </sheetViews>
  <sheetFormatPr defaultColWidth="8.88671875" defaultRowHeight="14.4"/>
  <cols>
    <col min="1" max="1" width="12.6640625" style="13" bestFit="1" customWidth="1"/>
    <col min="2" max="2" width="6.21875" style="13" bestFit="1" customWidth="1"/>
    <col min="3" max="3" width="10.88671875" style="13" bestFit="1" customWidth="1"/>
    <col min="4" max="4" width="4.5546875" style="13" bestFit="1" customWidth="1"/>
    <col min="5" max="5" width="17.5546875" style="13" bestFit="1" customWidth="1"/>
    <col min="6" max="6" width="10.77734375" style="13" bestFit="1" customWidth="1"/>
    <col min="7" max="7" width="9.33203125" style="13" bestFit="1" customWidth="1"/>
    <col min="8" max="16384" width="8.88671875" style="13"/>
  </cols>
  <sheetData>
    <row r="1" spans="1:7">
      <c r="A1" s="2" t="s">
        <v>8</v>
      </c>
      <c r="B1" s="2" t="s">
        <v>54</v>
      </c>
      <c r="C1" s="4" t="s">
        <v>9</v>
      </c>
      <c r="D1" s="4" t="s">
        <v>17</v>
      </c>
      <c r="E1" s="4" t="s">
        <v>44</v>
      </c>
      <c r="F1" s="4" t="s">
        <v>10</v>
      </c>
      <c r="G1" s="50"/>
    </row>
    <row r="2" spans="1:7">
      <c r="A2" s="5" t="s">
        <v>55</v>
      </c>
      <c r="B2" s="29">
        <v>1600</v>
      </c>
      <c r="C2" s="30">
        <v>0.5</v>
      </c>
      <c r="D2" s="51" t="s">
        <v>18</v>
      </c>
      <c r="E2" s="52">
        <v>0.95</v>
      </c>
      <c r="F2" s="53" t="s">
        <v>11</v>
      </c>
      <c r="G2" s="49"/>
    </row>
    <row r="3" spans="1:7">
      <c r="A3" s="5" t="s">
        <v>56</v>
      </c>
      <c r="B3" s="29">
        <f>0.2*B2</f>
        <v>320</v>
      </c>
      <c r="C3" s="30">
        <v>1</v>
      </c>
      <c r="D3" s="51" t="s">
        <v>18</v>
      </c>
      <c r="E3" s="52">
        <v>0.95</v>
      </c>
      <c r="F3" s="53" t="s">
        <v>11</v>
      </c>
    </row>
    <row r="4" spans="1:7">
      <c r="A4" s="5" t="s">
        <v>57</v>
      </c>
      <c r="B4" s="29">
        <f>B2/20</f>
        <v>80</v>
      </c>
      <c r="C4" s="30">
        <v>2</v>
      </c>
      <c r="D4" s="51" t="s">
        <v>18</v>
      </c>
      <c r="E4" s="52">
        <v>0.95</v>
      </c>
      <c r="F4" s="53" t="s">
        <v>11</v>
      </c>
    </row>
  </sheetData>
  <sheetProtection algorithmName="SHA-512" hashValue="Y2IqrpWCEept1wqCx/HybWqkKKbunAa9zcRMpdshG4N/td5QoPwUGvQyZDLkyfUXgST1mLkGYqEwIZTmNIf6Tg==" saltValue="e2AlxAVcXi3Cgjgf+qs5CA==" spinCount="100000" sheet="1" objects="1" scenarios="1"/>
  <dataValidations count="1">
    <dataValidation type="decimal" allowBlank="1" showInputMessage="1" showErrorMessage="1" sqref="B2:C4" xr:uid="{48CDBABE-B2B8-4715-97E3-5BDD79C96553}">
      <formula1>0</formula1>
      <formula2>100000000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F821-C85D-498F-A006-2A5589BF938F}">
  <sheetPr>
    <tabColor theme="5" tint="0.79998168889431442"/>
  </sheetPr>
  <dimension ref="A1:H11"/>
  <sheetViews>
    <sheetView workbookViewId="0">
      <selection activeCell="F4" sqref="F4"/>
    </sheetView>
  </sheetViews>
  <sheetFormatPr defaultRowHeight="14.4"/>
  <cols>
    <col min="1" max="1" width="12.6640625" bestFit="1" customWidth="1"/>
    <col min="2" max="2" width="6.21875" style="13" bestFit="1" customWidth="1"/>
    <col min="3" max="3" width="10.88671875" bestFit="1" customWidth="1"/>
    <col min="4" max="4" width="4.5546875" bestFit="1" customWidth="1"/>
    <col min="5" max="5" width="17.5546875" bestFit="1" customWidth="1"/>
    <col min="6" max="6" width="10.77734375" bestFit="1" customWidth="1"/>
    <col min="7" max="7" width="9.33203125" bestFit="1" customWidth="1"/>
  </cols>
  <sheetData>
    <row r="1" spans="1:8">
      <c r="A1" s="2" t="s">
        <v>8</v>
      </c>
      <c r="B1" s="2" t="s">
        <v>54</v>
      </c>
      <c r="C1" s="4" t="s">
        <v>9</v>
      </c>
      <c r="D1" s="4" t="s">
        <v>17</v>
      </c>
      <c r="E1" s="4" t="s">
        <v>44</v>
      </c>
      <c r="F1" s="4" t="s">
        <v>10</v>
      </c>
      <c r="G1" s="4" t="s">
        <v>24</v>
      </c>
    </row>
    <row r="2" spans="1:8">
      <c r="A2" s="5" t="s">
        <v>55</v>
      </c>
      <c r="B2" s="9">
        <v>1600</v>
      </c>
      <c r="C2" s="6">
        <v>0.7</v>
      </c>
      <c r="D2" s="6" t="s">
        <v>18</v>
      </c>
      <c r="E2" s="12">
        <v>0.95</v>
      </c>
      <c r="F2" s="6" t="s">
        <v>11</v>
      </c>
      <c r="G2" s="13"/>
    </row>
    <row r="3" spans="1:8">
      <c r="A3" s="5" t="s">
        <v>56</v>
      </c>
      <c r="B3" s="9">
        <f>0.2*B2</f>
        <v>320</v>
      </c>
      <c r="C3" s="6">
        <v>1.4</v>
      </c>
      <c r="D3" s="6" t="s">
        <v>18</v>
      </c>
      <c r="E3" s="12">
        <v>0.95</v>
      </c>
      <c r="F3" s="6" t="s">
        <v>11</v>
      </c>
      <c r="G3" s="13"/>
    </row>
    <row r="4" spans="1:8">
      <c r="A4" s="5" t="s">
        <v>57</v>
      </c>
      <c r="B4" s="9">
        <f>B2/20</f>
        <v>80</v>
      </c>
      <c r="C4" s="6">
        <v>2.8</v>
      </c>
      <c r="D4" s="6" t="s">
        <v>18</v>
      </c>
      <c r="E4" s="12">
        <v>0.95</v>
      </c>
      <c r="F4" s="6" t="s">
        <v>11</v>
      </c>
      <c r="G4" s="13"/>
    </row>
    <row r="5" spans="1:8">
      <c r="A5" s="13"/>
      <c r="C5" s="13"/>
      <c r="D5" s="13"/>
      <c r="E5" s="13"/>
      <c r="F5" s="13"/>
      <c r="G5" s="13"/>
    </row>
    <row r="6" spans="1:8">
      <c r="A6" s="17"/>
      <c r="B6" s="17"/>
      <c r="C6" s="18"/>
      <c r="D6" s="18"/>
      <c r="E6" s="19"/>
      <c r="F6" s="18"/>
      <c r="G6" s="15"/>
      <c r="H6" s="15"/>
    </row>
    <row r="7" spans="1:8">
      <c r="A7" s="17"/>
      <c r="B7" s="20"/>
      <c r="C7" s="18"/>
      <c r="D7" s="18"/>
      <c r="E7" s="19"/>
      <c r="F7" s="18"/>
      <c r="G7" s="15"/>
      <c r="H7" s="15"/>
    </row>
    <row r="8" spans="1:8">
      <c r="A8" s="17"/>
      <c r="B8" s="20"/>
      <c r="C8" s="18"/>
      <c r="D8" s="18"/>
      <c r="E8" s="19"/>
      <c r="F8" s="18"/>
      <c r="G8" s="15"/>
      <c r="H8" s="15"/>
    </row>
    <row r="9" spans="1:8">
      <c r="A9" s="17"/>
      <c r="B9" s="20"/>
      <c r="C9" s="18"/>
      <c r="D9" s="18"/>
      <c r="E9" s="19"/>
      <c r="F9" s="18"/>
      <c r="G9" s="15"/>
      <c r="H9" s="15"/>
    </row>
    <row r="10" spans="1:8">
      <c r="A10" s="15"/>
      <c r="B10" s="15"/>
      <c r="C10" s="15"/>
      <c r="D10" s="15"/>
      <c r="E10" s="15"/>
      <c r="F10" s="15"/>
      <c r="G10" s="15"/>
      <c r="H10" s="15"/>
    </row>
    <row r="11" spans="1:8">
      <c r="A11" s="15"/>
      <c r="B11" s="15"/>
      <c r="C11" s="15"/>
      <c r="D11" s="15"/>
      <c r="E11" s="15"/>
      <c r="F11" s="15"/>
      <c r="G11" s="15"/>
      <c r="H11" s="1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5778-1A68-4C74-BDC6-7633AB5F1A93}">
  <sheetPr>
    <tabColor theme="5" tint="0.79998168889431442"/>
  </sheetPr>
  <dimension ref="A1:G10"/>
  <sheetViews>
    <sheetView workbookViewId="0">
      <selection activeCell="G21" sqref="G21"/>
    </sheetView>
  </sheetViews>
  <sheetFormatPr defaultRowHeight="14.4"/>
  <cols>
    <col min="1" max="1" width="12.6640625" bestFit="1" customWidth="1"/>
    <col min="2" max="2" width="6.21875" bestFit="1" customWidth="1"/>
    <col min="3" max="3" width="10.88671875" bestFit="1" customWidth="1"/>
    <col min="4" max="4" width="4.5546875" bestFit="1" customWidth="1"/>
    <col min="5" max="5" width="17.5546875" bestFit="1" customWidth="1"/>
    <col min="6" max="6" width="10.77734375" bestFit="1" customWidth="1"/>
    <col min="7" max="7" width="9.33203125" bestFit="1" customWidth="1"/>
  </cols>
  <sheetData>
    <row r="1" spans="1:7">
      <c r="A1" s="2" t="s">
        <v>8</v>
      </c>
      <c r="B1" s="2" t="s">
        <v>54</v>
      </c>
      <c r="C1" s="4" t="s">
        <v>9</v>
      </c>
      <c r="D1" s="4" t="s">
        <v>17</v>
      </c>
      <c r="E1" s="4" t="s">
        <v>44</v>
      </c>
      <c r="F1" s="4" t="s">
        <v>10</v>
      </c>
      <c r="G1" s="4" t="s">
        <v>24</v>
      </c>
    </row>
    <row r="2" spans="1:7">
      <c r="A2" s="5" t="s">
        <v>68</v>
      </c>
      <c r="B2" s="9">
        <v>1600</v>
      </c>
      <c r="C2" s="6">
        <v>0.7</v>
      </c>
      <c r="D2" s="6" t="s">
        <v>18</v>
      </c>
      <c r="E2" s="12">
        <v>0.95</v>
      </c>
      <c r="F2" s="6" t="s">
        <v>11</v>
      </c>
      <c r="G2" s="13"/>
    </row>
    <row r="3" spans="1:7">
      <c r="A3" s="5" t="s">
        <v>69</v>
      </c>
      <c r="B3" s="9">
        <f>0.2*B2</f>
        <v>320</v>
      </c>
      <c r="C3" s="6">
        <v>1.4</v>
      </c>
      <c r="D3" s="6" t="s">
        <v>18</v>
      </c>
      <c r="E3" s="12">
        <v>0.95</v>
      </c>
      <c r="F3" s="6" t="s">
        <v>11</v>
      </c>
      <c r="G3" s="13"/>
    </row>
    <row r="4" spans="1:7">
      <c r="A4" s="5" t="s">
        <v>70</v>
      </c>
      <c r="B4" s="9">
        <f>B2/20</f>
        <v>80</v>
      </c>
      <c r="C4" s="6">
        <v>2.8</v>
      </c>
      <c r="D4" s="6" t="s">
        <v>18</v>
      </c>
      <c r="E4" s="12">
        <v>0.95</v>
      </c>
      <c r="F4" s="6" t="s">
        <v>11</v>
      </c>
      <c r="G4" s="13"/>
    </row>
    <row r="5" spans="1:7">
      <c r="A5" s="13"/>
      <c r="B5" s="13"/>
      <c r="C5" s="13"/>
      <c r="D5" s="13"/>
      <c r="E5" s="13"/>
      <c r="F5" s="13"/>
      <c r="G5" s="13"/>
    </row>
    <row r="6" spans="1:7">
      <c r="A6" s="17"/>
      <c r="B6" s="18"/>
      <c r="C6" s="18"/>
      <c r="D6" s="19"/>
      <c r="E6" s="18"/>
      <c r="F6" s="15"/>
      <c r="G6" s="15"/>
    </row>
    <row r="7" spans="1:7">
      <c r="A7" s="15"/>
      <c r="B7" s="15"/>
      <c r="C7" s="15"/>
      <c r="D7" s="15"/>
      <c r="E7" s="15"/>
      <c r="F7" s="15"/>
      <c r="G7" s="15"/>
    </row>
    <row r="8" spans="1:7">
      <c r="A8" s="15"/>
      <c r="B8" s="15"/>
      <c r="C8" s="15"/>
      <c r="D8" s="15"/>
      <c r="E8" s="15"/>
      <c r="F8" s="15"/>
      <c r="G8" s="15"/>
    </row>
    <row r="9" spans="1:7">
      <c r="A9" s="15"/>
      <c r="B9" s="15"/>
      <c r="C9" s="15"/>
      <c r="D9" s="15"/>
      <c r="E9" s="15"/>
      <c r="F9" s="15"/>
      <c r="G9" s="15"/>
    </row>
    <row r="10" spans="1:7">
      <c r="A10" s="15"/>
      <c r="B10" s="15"/>
      <c r="C10" s="15"/>
      <c r="D10" s="15"/>
      <c r="E10" s="15"/>
      <c r="F10" s="15"/>
      <c r="G10" s="1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8100-2A49-430C-B766-FCE203AE5A5B}">
  <sheetPr>
    <tabColor theme="5" tint="0.79998168889431442"/>
  </sheetPr>
  <dimension ref="A1:G9"/>
  <sheetViews>
    <sheetView workbookViewId="0">
      <selection activeCell="F4" sqref="F4"/>
    </sheetView>
  </sheetViews>
  <sheetFormatPr defaultRowHeight="14.4"/>
  <cols>
    <col min="1" max="1" width="12.6640625" bestFit="1" customWidth="1"/>
    <col min="2" max="2" width="6.21875" bestFit="1" customWidth="1"/>
    <col min="3" max="3" width="10.88671875" bestFit="1" customWidth="1"/>
    <col min="4" max="4" width="4.5546875" bestFit="1" customWidth="1"/>
    <col min="5" max="5" width="17.5546875" bestFit="1" customWidth="1"/>
    <col min="6" max="6" width="10.77734375" bestFit="1" customWidth="1"/>
    <col min="7" max="7" width="9.33203125" bestFit="1" customWidth="1"/>
  </cols>
  <sheetData>
    <row r="1" spans="1:7">
      <c r="A1" s="2" t="s">
        <v>8</v>
      </c>
      <c r="B1" s="2" t="s">
        <v>54</v>
      </c>
      <c r="C1" s="4" t="s">
        <v>9</v>
      </c>
      <c r="D1" s="4" t="s">
        <v>17</v>
      </c>
      <c r="E1" s="4" t="s">
        <v>44</v>
      </c>
      <c r="F1" s="4" t="s">
        <v>10</v>
      </c>
      <c r="G1" s="50"/>
    </row>
    <row r="2" spans="1:7">
      <c r="A2" s="5" t="s">
        <v>72</v>
      </c>
      <c r="B2" s="29">
        <v>1600</v>
      </c>
      <c r="C2" s="30">
        <v>0.2</v>
      </c>
      <c r="D2" s="54" t="s">
        <v>71</v>
      </c>
      <c r="E2" s="52">
        <v>0.95</v>
      </c>
      <c r="F2" s="53" t="s">
        <v>11</v>
      </c>
      <c r="G2" s="13"/>
    </row>
    <row r="3" spans="1:7">
      <c r="A3" s="5" t="s">
        <v>73</v>
      </c>
      <c r="B3" s="29">
        <f>0.2*B2</f>
        <v>320</v>
      </c>
      <c r="C3" s="30">
        <v>0.2</v>
      </c>
      <c r="D3" s="54" t="s">
        <v>71</v>
      </c>
      <c r="E3" s="52">
        <v>0.95</v>
      </c>
      <c r="F3" s="53" t="s">
        <v>11</v>
      </c>
      <c r="G3" s="13"/>
    </row>
    <row r="4" spans="1:7">
      <c r="A4" s="5" t="s">
        <v>74</v>
      </c>
      <c r="B4" s="29">
        <v>-50</v>
      </c>
      <c r="C4" s="30">
        <v>0.2</v>
      </c>
      <c r="D4" s="54" t="s">
        <v>71</v>
      </c>
      <c r="E4" s="52">
        <v>0.95</v>
      </c>
      <c r="F4" s="53" t="s">
        <v>11</v>
      </c>
      <c r="G4" s="13"/>
    </row>
    <row r="5" spans="1:7">
      <c r="A5" s="13"/>
      <c r="B5" s="13"/>
      <c r="C5" s="13"/>
      <c r="D5" s="13"/>
      <c r="E5" s="13"/>
      <c r="F5" s="13"/>
      <c r="G5" s="13"/>
    </row>
    <row r="6" spans="1:7">
      <c r="A6" s="15"/>
      <c r="B6" s="15"/>
      <c r="C6" s="15"/>
      <c r="D6" s="15"/>
      <c r="E6" s="15"/>
      <c r="F6" s="13"/>
      <c r="G6" s="13"/>
    </row>
    <row r="7" spans="1:7">
      <c r="A7" s="15"/>
      <c r="B7" s="15"/>
      <c r="C7" s="18"/>
      <c r="D7" s="21"/>
      <c r="E7" s="15"/>
    </row>
    <row r="8" spans="1:7">
      <c r="A8" s="15"/>
      <c r="B8" s="15"/>
      <c r="C8" s="18"/>
      <c r="D8" s="15"/>
      <c r="E8" s="15"/>
    </row>
    <row r="9" spans="1:7">
      <c r="A9" s="15"/>
      <c r="B9" s="15"/>
      <c r="C9" s="18"/>
      <c r="D9" s="15"/>
      <c r="E9" s="15"/>
    </row>
  </sheetData>
  <sheetProtection algorithmName="SHA-512" hashValue="rrlFqIZBN8E6wfJsnHB97ITVvmn9ivWQxIWZRmzrtm7n9JUgWA4Yl7ooQWVL0ZY3/6lidyUde2julMfFcHkITw==" saltValue="qKcDZqpQSQyfOr4tzHLQpw==" spinCount="100000" sheet="1" objects="1" scenarios="1"/>
  <dataValidations count="2">
    <dataValidation type="decimal" allowBlank="1" showInputMessage="1" showErrorMessage="1" sqref="C2:C4" xr:uid="{4966C64C-5A7F-4D70-A3AB-3DF7D41F200D}">
      <formula1>0</formula1>
      <formula2>1000</formula2>
    </dataValidation>
    <dataValidation type="decimal" allowBlank="1" showInputMessage="1" showErrorMessage="1" sqref="B2:B4" xr:uid="{D5ACD695-2645-4B09-AF20-353C4FD6181B}">
      <formula1>-273.15</formula1>
      <formula2>5000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A25F-B08D-4B0D-945E-2785BBD7D722}">
  <sheetPr>
    <tabColor theme="5" tint="0.79998168889431442"/>
  </sheetPr>
  <dimension ref="A1:M8"/>
  <sheetViews>
    <sheetView workbookViewId="0">
      <selection activeCell="L14" sqref="L14"/>
    </sheetView>
  </sheetViews>
  <sheetFormatPr defaultRowHeight="14.4"/>
  <cols>
    <col min="1" max="1" width="12.6640625" bestFit="1" customWidth="1"/>
    <col min="2" max="2" width="10" bestFit="1" customWidth="1"/>
    <col min="3" max="3" width="10.88671875" bestFit="1" customWidth="1"/>
    <col min="4" max="4" width="4.5546875" bestFit="1" customWidth="1"/>
    <col min="5" max="5" width="17.5546875" bestFit="1" customWidth="1"/>
    <col min="6" max="6" width="10.77734375" bestFit="1" customWidth="1"/>
    <col min="7" max="7" width="9.33203125" bestFit="1" customWidth="1"/>
  </cols>
  <sheetData>
    <row r="1" spans="1:13">
      <c r="A1" s="2" t="s">
        <v>8</v>
      </c>
      <c r="B1" s="2" t="s">
        <v>54</v>
      </c>
      <c r="C1" s="4" t="s">
        <v>9</v>
      </c>
      <c r="D1" s="4" t="s">
        <v>17</v>
      </c>
      <c r="E1" s="4" t="s">
        <v>44</v>
      </c>
      <c r="F1" s="4" t="s">
        <v>10</v>
      </c>
      <c r="G1" s="50"/>
      <c r="H1" s="13"/>
      <c r="I1" s="13"/>
      <c r="J1" s="13"/>
      <c r="K1" s="13"/>
      <c r="L1" s="13"/>
      <c r="M1" s="13"/>
    </row>
    <row r="2" spans="1:13">
      <c r="A2" s="5" t="s">
        <v>76</v>
      </c>
      <c r="B2" s="29">
        <v>100000000</v>
      </c>
      <c r="C2" s="30">
        <v>0.1</v>
      </c>
      <c r="D2" s="54" t="s">
        <v>75</v>
      </c>
      <c r="E2" s="52">
        <v>0.95</v>
      </c>
      <c r="F2" s="51" t="s">
        <v>11</v>
      </c>
      <c r="G2" s="13"/>
      <c r="H2" s="13"/>
      <c r="I2" s="13"/>
      <c r="J2" s="13"/>
      <c r="K2" s="13"/>
      <c r="L2" s="13"/>
      <c r="M2" s="13"/>
    </row>
    <row r="3" spans="1:13">
      <c r="A3" s="5" t="s">
        <v>77</v>
      </c>
      <c r="B3" s="29">
        <v>50</v>
      </c>
      <c r="C3" s="30">
        <v>0.1</v>
      </c>
      <c r="D3" s="54" t="s">
        <v>75</v>
      </c>
      <c r="E3" s="52">
        <v>0.95</v>
      </c>
      <c r="F3" s="51" t="s">
        <v>11</v>
      </c>
      <c r="G3" s="13"/>
      <c r="H3" s="13"/>
      <c r="I3" s="13"/>
      <c r="J3" s="13"/>
      <c r="K3" s="13"/>
      <c r="L3" s="13"/>
      <c r="M3" s="13"/>
    </row>
    <row r="4" spans="1:13">
      <c r="A4" s="5" t="s">
        <v>78</v>
      </c>
      <c r="B4" s="29">
        <v>1</v>
      </c>
      <c r="C4" s="30">
        <v>0.1</v>
      </c>
      <c r="D4" s="54" t="s">
        <v>75</v>
      </c>
      <c r="E4" s="52">
        <v>0.95</v>
      </c>
      <c r="F4" s="51" t="s">
        <v>11</v>
      </c>
      <c r="G4" s="13"/>
      <c r="H4" s="13"/>
      <c r="I4" s="13"/>
      <c r="J4" s="13"/>
      <c r="K4" s="13"/>
      <c r="L4" s="13"/>
      <c r="M4" s="13"/>
    </row>
    <row r="5" spans="1:1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</sheetData>
  <sheetProtection algorithmName="SHA-512" hashValue="u7NVpFfNUceIRrY7t3MBO++31ihOEpoMw/+mbmkWPFumxEyyZRBXB20PncJ10QZV+t/Mkdd3ZEX9P08vhq2vSw==" saltValue="2DWvRpAzigdcRZeHG3PfFw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FDAC-8E56-43E5-A79B-E2B2622DF346}">
  <sheetPr>
    <tabColor theme="5" tint="0.79998168889431442"/>
  </sheetPr>
  <dimension ref="A1:AR9"/>
  <sheetViews>
    <sheetView workbookViewId="0">
      <selection activeCell="P2" sqref="P2"/>
    </sheetView>
  </sheetViews>
  <sheetFormatPr defaultRowHeight="14.4"/>
  <cols>
    <col min="1" max="1" width="16.88671875" bestFit="1" customWidth="1"/>
    <col min="2" max="5" width="10.77734375" bestFit="1" customWidth="1"/>
  </cols>
  <sheetData>
    <row r="1" spans="1:44">
      <c r="A1" s="7" t="s">
        <v>12</v>
      </c>
      <c r="B1" s="55" t="str">
        <f>IF(Composition!C1="", "", Composition!C1)</f>
        <v>N2</v>
      </c>
      <c r="C1" s="55" t="str">
        <f>IF(Composition!D1="", "", Composition!D1)</f>
        <v>O2</v>
      </c>
      <c r="D1" s="55" t="str">
        <f>IF(Composition!E1="", "", Composition!E1)</f>
        <v>C1</v>
      </c>
      <c r="E1" s="55" t="str">
        <f>IF(Composition!F1="", "", Composition!F1)</f>
        <v>H2</v>
      </c>
      <c r="F1" s="14" t="str">
        <f>IF(Composition!G1="", "", Composition!G1)</f>
        <v/>
      </c>
      <c r="G1" s="14" t="str">
        <f>IF(Composition!H1="", "", Composition!H1)</f>
        <v/>
      </c>
      <c r="H1" s="14" t="str">
        <f>IF(Composition!I1="", "", Composition!I1)</f>
        <v/>
      </c>
      <c r="I1" s="14" t="str">
        <f>IF(Composition!J1="", "", Composition!J1)</f>
        <v/>
      </c>
      <c r="J1" s="14" t="str">
        <f>IF(Composition!K1="", "", Composition!K1)</f>
        <v/>
      </c>
      <c r="K1" s="14" t="str">
        <f>IF(Composition!L1="", "", Composition!L1)</f>
        <v/>
      </c>
      <c r="L1" s="14" t="str">
        <f>IF(Composition!M1="", "", Composition!M1)</f>
        <v/>
      </c>
      <c r="M1" s="14" t="str">
        <f>IF(Composition!N1="", "", Composition!N1)</f>
        <v/>
      </c>
      <c r="N1" s="14" t="str">
        <f>IF(Composition!O1="", "", Composition!O1)</f>
        <v/>
      </c>
      <c r="O1" s="14" t="str">
        <f>IF(Composition!P1="", "", Composition!P1)</f>
        <v/>
      </c>
      <c r="P1" s="14" t="str">
        <f>IF(Composition!Q1="", "", Composition!Q1)</f>
        <v/>
      </c>
      <c r="Q1" s="14" t="str">
        <f>IF(Composition!R1="", "", Composition!R1)</f>
        <v/>
      </c>
      <c r="R1" s="14" t="str">
        <f>IF(Composition!S1="", "", Composition!S1)</f>
        <v/>
      </c>
      <c r="S1" s="14" t="str">
        <f>IF(Composition!T1="", "", Composition!T1)</f>
        <v/>
      </c>
      <c r="T1" s="14" t="str">
        <f>IF(Composition!U1="", "", Composition!U1)</f>
        <v/>
      </c>
      <c r="U1" s="14" t="str">
        <f>IF(Composition!V1="", "", Composition!V1)</f>
        <v/>
      </c>
      <c r="V1" s="14" t="str">
        <f>IF(Composition!W1="", "", Composition!W1)</f>
        <v/>
      </c>
      <c r="W1" s="14" t="str">
        <f>IF(Composition!X1="", "", Composition!X1)</f>
        <v/>
      </c>
      <c r="X1" s="14" t="str">
        <f>IF(Composition!Y1="", "", Composition!Y1)</f>
        <v/>
      </c>
      <c r="Y1" s="14" t="str">
        <f>IF(Composition!Z1="", "", Composition!Z1)</f>
        <v/>
      </c>
      <c r="Z1" s="14" t="str">
        <f>IF(Composition!AA1="", "", Composition!AA1)</f>
        <v/>
      </c>
      <c r="AA1" s="14" t="str">
        <f>IF(Composition!AB1="", "", Composition!AB1)</f>
        <v/>
      </c>
      <c r="AB1" s="14" t="str">
        <f>IF(Composition!AC1="", "", Composition!AC1)</f>
        <v/>
      </c>
      <c r="AC1" s="14" t="str">
        <f>IF(Composition!AD1="", "", Composition!AD1)</f>
        <v/>
      </c>
      <c r="AD1" s="14" t="str">
        <f>IF(Composition!AE1="", "", Composition!AE1)</f>
        <v/>
      </c>
      <c r="AE1" s="14" t="str">
        <f>IF(Composition!AF1="", "", Composition!AF1)</f>
        <v/>
      </c>
      <c r="AF1" s="14" t="str">
        <f>IF(Composition!AG1="", "", Composition!AG1)</f>
        <v/>
      </c>
      <c r="AG1" s="14" t="str">
        <f>IF(Composition!AH1="", "", Composition!AH1)</f>
        <v/>
      </c>
      <c r="AH1" s="14" t="str">
        <f>IF(Composition!AI1="", "", Composition!AI1)</f>
        <v/>
      </c>
      <c r="AI1" s="14" t="str">
        <f>IF(Composition!AJ1="", "", Composition!AJ1)</f>
        <v/>
      </c>
      <c r="AJ1" s="14" t="str">
        <f>IF(Composition!AK1="", "", Composition!AK1)</f>
        <v/>
      </c>
      <c r="AK1" s="14" t="str">
        <f>IF(Composition!AL1="", "", Composition!AL1)</f>
        <v/>
      </c>
      <c r="AL1" s="14" t="str">
        <f>IF(Composition!AM1="", "", Composition!AM1)</f>
        <v/>
      </c>
      <c r="AM1" s="14" t="str">
        <f>IF(Composition!AN1="", "", Composition!AN1)</f>
        <v/>
      </c>
      <c r="AN1" s="14" t="str">
        <f>IF(Composition!AO1="", "", Composition!AO1)</f>
        <v/>
      </c>
      <c r="AO1" s="14" t="str">
        <f>IF(Composition!AP1="", "", Composition!AP1)</f>
        <v/>
      </c>
      <c r="AP1" s="14" t="str">
        <f>IF(Composition!AQ1="", "", Composition!AQ1)</f>
        <v/>
      </c>
      <c r="AQ1" s="14" t="str">
        <f>IF(Composition!AR1="", "", Composition!AR1)</f>
        <v/>
      </c>
    </row>
    <row r="2" spans="1:44" s="28" customFormat="1">
      <c r="A2" s="8" t="s">
        <v>9</v>
      </c>
      <c r="B2" s="25">
        <v>1E-3</v>
      </c>
      <c r="C2" s="25">
        <v>1E-3</v>
      </c>
      <c r="D2" s="25">
        <v>1E-3</v>
      </c>
      <c r="E2" s="25">
        <v>1E-3</v>
      </c>
      <c r="F2" s="26" t="str">
        <f>IF(Composition!G1="", "", 0.001)</f>
        <v/>
      </c>
      <c r="G2" s="26" t="str">
        <f>IF(Composition!H1="", "", 0.001)</f>
        <v/>
      </c>
      <c r="H2" s="26" t="str">
        <f>IF(Composition!I1="", "", 0.001)</f>
        <v/>
      </c>
      <c r="I2" s="26" t="str">
        <f>IF(Composition!J1="", "", 0.001)</f>
        <v/>
      </c>
      <c r="J2" s="26" t="str">
        <f>IF(Composition!K1="", "", 0.001)</f>
        <v/>
      </c>
      <c r="K2" s="26" t="str">
        <f>IF(Composition!L1="", "", 0.001)</f>
        <v/>
      </c>
      <c r="L2" s="26" t="str">
        <f>IF(Composition!M1="", "", 0.001)</f>
        <v/>
      </c>
      <c r="M2" s="26" t="str">
        <f>IF(Composition!N1="", "", 0.001)</f>
        <v/>
      </c>
      <c r="N2" s="26" t="str">
        <f>IF(Composition!O1="", "", 0.001)</f>
        <v/>
      </c>
      <c r="O2" s="26" t="str">
        <f>IF(Composition!P1="", "", 0.001)</f>
        <v/>
      </c>
      <c r="P2" s="26" t="str">
        <f>IF(Composition!Q1="", "", 0.001)</f>
        <v/>
      </c>
      <c r="Q2" s="26" t="str">
        <f>IF(Composition!R1="", "", 0.001)</f>
        <v/>
      </c>
      <c r="R2" s="26" t="str">
        <f>IF(Composition!S1="", "", 0.001)</f>
        <v/>
      </c>
      <c r="S2" s="26" t="str">
        <f>IF(Composition!T1="", "", 0.001)</f>
        <v/>
      </c>
      <c r="T2" s="26" t="str">
        <f>IF(Composition!U1="", "", 0.001)</f>
        <v/>
      </c>
      <c r="U2" s="26" t="str">
        <f>IF(Composition!V1="", "", 0.001)</f>
        <v/>
      </c>
      <c r="V2" s="26" t="str">
        <f>IF(Composition!W1="", "", 0.001)</f>
        <v/>
      </c>
      <c r="W2" s="26" t="str">
        <f>IF(Composition!X1="", "", 0.001)</f>
        <v/>
      </c>
      <c r="X2" s="26" t="str">
        <f>IF(Composition!Y1="", "", 0.001)</f>
        <v/>
      </c>
      <c r="Y2" s="26" t="str">
        <f>IF(Composition!Z1="", "", 0.001)</f>
        <v/>
      </c>
      <c r="Z2" s="26" t="str">
        <f>IF(Composition!AA1="", "", 0.001)</f>
        <v/>
      </c>
      <c r="AA2" s="26" t="str">
        <f>IF(Composition!AB1="", "", 0.001)</f>
        <v/>
      </c>
      <c r="AB2" s="26" t="str">
        <f>IF(Composition!AC1="", "", 0.001)</f>
        <v/>
      </c>
      <c r="AC2" s="26" t="str">
        <f>IF(Composition!AD1="", "", 0.001)</f>
        <v/>
      </c>
      <c r="AD2" s="26" t="str">
        <f>IF(Composition!AE1="", "", 0.001)</f>
        <v/>
      </c>
      <c r="AE2" s="26" t="str">
        <f>IF(Composition!AF1="", "", 0.001)</f>
        <v/>
      </c>
      <c r="AF2" s="26" t="str">
        <f>IF(Composition!AG1="", "", 0.001)</f>
        <v/>
      </c>
      <c r="AG2" s="26" t="str">
        <f>IF(Composition!AH1="", "", 0.001)</f>
        <v/>
      </c>
      <c r="AH2" s="26" t="str">
        <f>IF(Composition!AI1="", "", 0.001)</f>
        <v/>
      </c>
      <c r="AI2" s="26" t="str">
        <f>IF(Composition!AJ1="", "", 0.001)</f>
        <v/>
      </c>
      <c r="AJ2" s="26" t="str">
        <f>IF(Composition!AK1="", "", 0.001)</f>
        <v/>
      </c>
      <c r="AK2" s="26" t="str">
        <f>IF(Composition!AL1="", "", 0.001)</f>
        <v/>
      </c>
      <c r="AL2" s="26" t="str">
        <f>IF(Composition!AM1="", "", 0.001)</f>
        <v/>
      </c>
      <c r="AM2" s="26" t="str">
        <f>IF(Composition!AN1="", "", 0.001)</f>
        <v/>
      </c>
      <c r="AN2" s="26" t="str">
        <f>IF(Composition!AO1="", "", 0.001)</f>
        <v/>
      </c>
      <c r="AO2" s="26" t="str">
        <f>IF(Composition!AP1="", "", 0.001)</f>
        <v/>
      </c>
      <c r="AP2" s="26" t="str">
        <f>IF(Composition!AQ1="", "", 0.001)</f>
        <v/>
      </c>
      <c r="AQ2" s="26" t="str">
        <f>IF(Composition!AR1="", "", 0.001)</f>
        <v/>
      </c>
      <c r="AR2" s="27"/>
    </row>
    <row r="3" spans="1:44">
      <c r="A3" s="8" t="s">
        <v>17</v>
      </c>
      <c r="B3" s="56" t="s">
        <v>25</v>
      </c>
      <c r="C3" s="56" t="s">
        <v>25</v>
      </c>
      <c r="D3" s="56" t="s">
        <v>25</v>
      </c>
      <c r="E3" s="56" t="s">
        <v>25</v>
      </c>
      <c r="F3" s="16" t="str">
        <f>IF(Composition!G1="", "",Composition!#REF!)</f>
        <v/>
      </c>
      <c r="G3" s="16" t="str">
        <f>IF(Composition!H1="", "",Composition!#REF!)</f>
        <v/>
      </c>
      <c r="H3" s="16" t="str">
        <f>IF(Composition!I1="", "",Composition!#REF!)</f>
        <v/>
      </c>
      <c r="I3" s="16" t="str">
        <f>IF(Composition!J1="", "",Composition!#REF!)</f>
        <v/>
      </c>
      <c r="J3" s="16" t="str">
        <f>IF(Composition!K1="", "",Composition!#REF!)</f>
        <v/>
      </c>
      <c r="K3" s="16" t="str">
        <f>IF(Composition!L1="", "",Composition!#REF!)</f>
        <v/>
      </c>
      <c r="L3" s="16" t="str">
        <f>IF(Composition!M1="", "",Composition!#REF!)</f>
        <v/>
      </c>
      <c r="M3" s="16" t="str">
        <f>IF(Composition!N1="", "",Composition!#REF!)</f>
        <v/>
      </c>
      <c r="N3" s="16" t="str">
        <f>IF(Composition!O1="", "",Composition!#REF!)</f>
        <v/>
      </c>
      <c r="O3" s="16" t="str">
        <f>IF(Composition!P1="", "",Composition!#REF!)</f>
        <v/>
      </c>
      <c r="P3" s="16" t="str">
        <f>IF(Composition!Q1="", "",Composition!#REF!)</f>
        <v/>
      </c>
      <c r="Q3" s="16" t="str">
        <f>IF(Composition!R1="", "",Composition!#REF!)</f>
        <v/>
      </c>
      <c r="R3" s="16" t="str">
        <f>IF(Composition!S1="", "",Composition!#REF!)</f>
        <v/>
      </c>
      <c r="S3" s="16" t="str">
        <f>IF(Composition!T1="", "",Composition!#REF!)</f>
        <v/>
      </c>
      <c r="T3" s="16" t="str">
        <f>IF(Composition!U1="", "",Composition!#REF!)</f>
        <v/>
      </c>
      <c r="U3" s="16" t="str">
        <f>IF(Composition!V1="", "",Composition!#REF!)</f>
        <v/>
      </c>
      <c r="V3" s="16" t="str">
        <f>IF(Composition!W1="", "",Composition!#REF!)</f>
        <v/>
      </c>
      <c r="W3" s="16" t="str">
        <f>IF(Composition!X1="", "",Composition!#REF!)</f>
        <v/>
      </c>
      <c r="X3" s="16" t="str">
        <f>IF(Composition!Y1="", "",Composition!#REF!)</f>
        <v/>
      </c>
      <c r="Y3" s="16" t="str">
        <f>IF(Composition!Z1="", "",Composition!#REF!)</f>
        <v/>
      </c>
      <c r="Z3" s="16" t="str">
        <f>IF(Composition!AA1="", "",Composition!#REF!)</f>
        <v/>
      </c>
      <c r="AA3" s="16" t="str">
        <f>IF(Composition!AB1="", "",Composition!#REF!)</f>
        <v/>
      </c>
      <c r="AB3" s="16" t="str">
        <f>IF(Composition!AC1="", "",Composition!#REF!)</f>
        <v/>
      </c>
      <c r="AC3" s="16" t="str">
        <f>IF(Composition!AD1="", "",Composition!#REF!)</f>
        <v/>
      </c>
      <c r="AD3" s="16" t="str">
        <f>IF(Composition!AE1="", "",Composition!#REF!)</f>
        <v/>
      </c>
      <c r="AE3" s="16" t="str">
        <f>IF(Composition!AF1="", "",Composition!#REF!)</f>
        <v/>
      </c>
      <c r="AF3" s="16" t="str">
        <f>IF(Composition!AG1="", "",Composition!#REF!)</f>
        <v/>
      </c>
      <c r="AG3" s="16" t="str">
        <f>IF(Composition!AH1="", "",Composition!#REF!)</f>
        <v/>
      </c>
      <c r="AH3" s="16" t="str">
        <f>IF(Composition!AI1="", "",Composition!#REF!)</f>
        <v/>
      </c>
      <c r="AI3" s="16" t="str">
        <f>IF(Composition!AJ1="", "",Composition!#REF!)</f>
        <v/>
      </c>
      <c r="AJ3" s="16" t="str">
        <f>IF(Composition!AK1="", "",Composition!#REF!)</f>
        <v/>
      </c>
      <c r="AK3" s="16" t="str">
        <f>IF(Composition!AL1="", "",Composition!#REF!)</f>
        <v/>
      </c>
      <c r="AL3" s="16" t="str">
        <f>IF(Composition!AM1="", "",Composition!#REF!)</f>
        <v/>
      </c>
      <c r="AM3" s="16" t="str">
        <f>IF(Composition!AN1="", "",Composition!#REF!)</f>
        <v/>
      </c>
      <c r="AN3" s="16" t="str">
        <f>IF(Composition!AO1="", "",Composition!#REF!)</f>
        <v/>
      </c>
      <c r="AO3" s="16" t="str">
        <f>IF(Composition!AP1="", "",Composition!#REF!)</f>
        <v/>
      </c>
      <c r="AP3" s="16" t="str">
        <f>IF(Composition!AQ1="", "",Composition!#REF!)</f>
        <v/>
      </c>
      <c r="AQ3" s="16" t="str">
        <f>IF(Composition!AR1="", "",Composition!#REF!)</f>
        <v/>
      </c>
    </row>
    <row r="4" spans="1:44">
      <c r="A4" s="8" t="s">
        <v>44</v>
      </c>
      <c r="B4" s="57">
        <v>0.95</v>
      </c>
      <c r="C4" s="15"/>
      <c r="D4" s="15"/>
      <c r="E4" s="15"/>
      <c r="F4" s="15"/>
    </row>
    <row r="5" spans="1:44">
      <c r="A5" s="8" t="s">
        <v>10</v>
      </c>
      <c r="B5" s="58" t="s">
        <v>11</v>
      </c>
      <c r="C5" s="15"/>
      <c r="D5" s="15"/>
      <c r="E5" s="15"/>
      <c r="F5" s="15"/>
    </row>
    <row r="6" spans="1:44">
      <c r="B6" s="15"/>
      <c r="C6" s="15"/>
      <c r="D6" s="15"/>
      <c r="E6" s="15"/>
      <c r="F6" s="15"/>
    </row>
    <row r="7" spans="1:44">
      <c r="B7" s="15"/>
      <c r="C7" s="15"/>
      <c r="D7" s="15"/>
      <c r="E7" s="15"/>
      <c r="F7" s="15"/>
    </row>
    <row r="8" spans="1:44">
      <c r="B8" s="15"/>
      <c r="C8" s="15"/>
      <c r="D8" s="15"/>
      <c r="E8" s="15"/>
      <c r="F8" s="15"/>
    </row>
    <row r="9" spans="1:44">
      <c r="B9" s="15"/>
      <c r="C9" s="15"/>
      <c r="D9" s="15"/>
      <c r="E9" s="15"/>
      <c r="F9" s="15"/>
    </row>
  </sheetData>
  <phoneticPr fontId="3" type="noConversion"/>
  <dataValidations count="1">
    <dataValidation type="decimal" allowBlank="1" showInputMessage="1" showErrorMessage="1" sqref="B2:XFD2" xr:uid="{9DC5D4F6-F5EB-468C-A8FE-88E67AE2AB6C}">
      <formula1>0</formula1>
      <formula2>500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5A7-F87A-4776-9AB5-01985038E5ED}">
  <sheetPr>
    <tabColor theme="2" tint="-9.9978637043366805E-2"/>
  </sheetPr>
  <dimension ref="A1:K228"/>
  <sheetViews>
    <sheetView workbookViewId="0">
      <selection activeCell="H7" sqref="H7"/>
    </sheetView>
  </sheetViews>
  <sheetFormatPr defaultRowHeight="14.4"/>
  <cols>
    <col min="1" max="1" width="20.6640625" bestFit="1" customWidth="1"/>
    <col min="2" max="2" width="12.5546875" bestFit="1" customWidth="1"/>
    <col min="3" max="3" width="19.33203125" bestFit="1" customWidth="1"/>
    <col min="4" max="4" width="30.109375" bestFit="1" customWidth="1"/>
    <col min="5" max="5" width="10.33203125" bestFit="1" customWidth="1"/>
    <col min="6" max="6" width="22.109375" bestFit="1" customWidth="1"/>
    <col min="7" max="7" width="17.6640625" bestFit="1" customWidth="1"/>
    <col min="9" max="9" width="16.44140625" bestFit="1" customWidth="1"/>
    <col min="10" max="10" width="7.33203125" bestFit="1" customWidth="1"/>
  </cols>
  <sheetData>
    <row r="1" spans="1:11">
      <c r="A1" s="1" t="s">
        <v>50</v>
      </c>
      <c r="B1" s="1" t="s">
        <v>1</v>
      </c>
      <c r="C1" s="1" t="s">
        <v>2</v>
      </c>
      <c r="D1" s="1" t="s">
        <v>43</v>
      </c>
      <c r="E1" s="1" t="s">
        <v>14</v>
      </c>
      <c r="F1" s="1" t="s">
        <v>49</v>
      </c>
      <c r="G1" s="1" t="s">
        <v>53</v>
      </c>
      <c r="H1" s="1" t="s">
        <v>60</v>
      </c>
      <c r="I1" s="1" t="s">
        <v>64</v>
      </c>
      <c r="J1" s="1" t="s">
        <v>65</v>
      </c>
      <c r="K1" s="1" t="s">
        <v>85</v>
      </c>
    </row>
    <row r="2" spans="1:11" ht="16.2">
      <c r="A2" t="s">
        <v>0</v>
      </c>
      <c r="B2" t="s">
        <v>21</v>
      </c>
      <c r="C2" t="s">
        <v>3</v>
      </c>
      <c r="D2" s="22" t="s">
        <v>105</v>
      </c>
      <c r="E2" t="s">
        <v>15</v>
      </c>
      <c r="F2" t="s">
        <v>48</v>
      </c>
      <c r="G2" t="s">
        <v>62</v>
      </c>
      <c r="H2" s="13" t="s">
        <v>83</v>
      </c>
      <c r="I2">
        <v>0</v>
      </c>
      <c r="J2" t="s">
        <v>66</v>
      </c>
      <c r="K2" s="13" t="s">
        <v>7</v>
      </c>
    </row>
    <row r="3" spans="1:11" ht="16.2">
      <c r="A3" t="s">
        <v>20</v>
      </c>
      <c r="B3" t="s">
        <v>51</v>
      </c>
      <c r="C3" t="s">
        <v>13</v>
      </c>
      <c r="D3" s="22" t="s">
        <v>106</v>
      </c>
      <c r="E3" t="s">
        <v>23</v>
      </c>
      <c r="F3" t="s">
        <v>63</v>
      </c>
      <c r="G3" t="s">
        <v>11</v>
      </c>
      <c r="H3" s="13" t="s">
        <v>61</v>
      </c>
      <c r="I3" s="13">
        <v>15</v>
      </c>
      <c r="J3" t="s">
        <v>67</v>
      </c>
      <c r="K3" s="13" t="s">
        <v>86</v>
      </c>
    </row>
    <row r="4" spans="1:11" ht="16.2">
      <c r="A4" t="s">
        <v>58</v>
      </c>
      <c r="B4" t="s">
        <v>52</v>
      </c>
      <c r="C4" t="s">
        <v>22</v>
      </c>
      <c r="D4" s="22" t="s">
        <v>107</v>
      </c>
      <c r="H4" s="13" t="s">
        <v>84</v>
      </c>
      <c r="I4" s="13">
        <v>15.5</v>
      </c>
      <c r="K4" s="13" t="s">
        <v>87</v>
      </c>
    </row>
    <row r="5" spans="1:11">
      <c r="D5" s="22" t="s">
        <v>108</v>
      </c>
      <c r="I5" s="13">
        <v>20</v>
      </c>
      <c r="K5" s="13" t="s">
        <v>88</v>
      </c>
    </row>
    <row r="6" spans="1:11" ht="16.2">
      <c r="D6" s="22" t="s">
        <v>109</v>
      </c>
      <c r="I6" s="13">
        <v>25</v>
      </c>
      <c r="K6" s="13" t="s">
        <v>89</v>
      </c>
    </row>
    <row r="7" spans="1:11" ht="16.2">
      <c r="D7" s="22" t="s">
        <v>110</v>
      </c>
      <c r="K7" s="13" t="s">
        <v>90</v>
      </c>
    </row>
    <row r="8" spans="1:11" ht="16.2">
      <c r="D8" s="22" t="s">
        <v>111</v>
      </c>
      <c r="K8" s="13" t="s">
        <v>91</v>
      </c>
    </row>
    <row r="9" spans="1:11">
      <c r="D9" s="22" t="s">
        <v>112</v>
      </c>
      <c r="K9" s="13" t="s">
        <v>92</v>
      </c>
    </row>
    <row r="10" spans="1:11">
      <c r="K10" s="13" t="s">
        <v>93</v>
      </c>
    </row>
    <row r="13" spans="1:11">
      <c r="K13" s="13"/>
    </row>
    <row r="14" spans="1:11">
      <c r="K14" s="13"/>
    </row>
    <row r="15" spans="1:11">
      <c r="K15" s="13"/>
    </row>
    <row r="16" spans="1:11">
      <c r="K16" s="13"/>
    </row>
    <row r="17" spans="11:11">
      <c r="K17" s="13"/>
    </row>
    <row r="18" spans="11:11">
      <c r="K18" s="13"/>
    </row>
    <row r="19" spans="11:11">
      <c r="K19" s="13"/>
    </row>
    <row r="20" spans="11:11">
      <c r="K20" s="13"/>
    </row>
    <row r="21" spans="11:11">
      <c r="K21" s="13"/>
    </row>
    <row r="22" spans="11:11">
      <c r="K22" s="13"/>
    </row>
    <row r="23" spans="11:11">
      <c r="K23" s="13"/>
    </row>
    <row r="24" spans="11:11">
      <c r="K24" s="13"/>
    </row>
    <row r="25" spans="11:11">
      <c r="K25" s="13"/>
    </row>
    <row r="26" spans="11:11">
      <c r="K26" s="13"/>
    </row>
    <row r="27" spans="11:11">
      <c r="K27" s="13"/>
    </row>
    <row r="28" spans="11:11">
      <c r="K28" s="13"/>
    </row>
    <row r="29" spans="11:11">
      <c r="K29" s="13"/>
    </row>
    <row r="30" spans="11:11">
      <c r="K30" s="13"/>
    </row>
    <row r="31" spans="11:11">
      <c r="K31" s="13"/>
    </row>
    <row r="32" spans="11:11">
      <c r="K32" s="13"/>
    </row>
    <row r="33" spans="11:11">
      <c r="K33" s="13"/>
    </row>
    <row r="34" spans="11:11">
      <c r="K34" s="13"/>
    </row>
    <row r="35" spans="11:11">
      <c r="K35" s="13"/>
    </row>
    <row r="36" spans="11:11">
      <c r="K36" s="13"/>
    </row>
    <row r="37" spans="11:11">
      <c r="K37" s="13"/>
    </row>
    <row r="38" spans="11:11">
      <c r="K38" s="13"/>
    </row>
    <row r="39" spans="11:11">
      <c r="K39" s="13"/>
    </row>
    <row r="40" spans="11:11">
      <c r="K40" s="13"/>
    </row>
    <row r="41" spans="11:11">
      <c r="K41" s="13"/>
    </row>
    <row r="42" spans="11:11">
      <c r="K42" s="13"/>
    </row>
    <row r="43" spans="11:11">
      <c r="K43" s="13"/>
    </row>
    <row r="44" spans="11:11">
      <c r="K44" s="13"/>
    </row>
    <row r="45" spans="11:11">
      <c r="K45" s="13"/>
    </row>
    <row r="46" spans="11:11">
      <c r="K46" s="13"/>
    </row>
    <row r="47" spans="11:11">
      <c r="K47" s="13"/>
    </row>
    <row r="48" spans="11:11">
      <c r="K48" s="13"/>
    </row>
    <row r="49" spans="11:11">
      <c r="K49" s="13"/>
    </row>
    <row r="50" spans="11:11">
      <c r="K50" s="13"/>
    </row>
    <row r="51" spans="11:11">
      <c r="K51" s="13"/>
    </row>
    <row r="52" spans="11:11">
      <c r="K52" s="13"/>
    </row>
    <row r="53" spans="11:11">
      <c r="K53" s="13"/>
    </row>
    <row r="54" spans="11:11">
      <c r="K54" s="13"/>
    </row>
    <row r="55" spans="11:11">
      <c r="K55" s="13"/>
    </row>
    <row r="56" spans="11:11">
      <c r="K56" s="13"/>
    </row>
    <row r="57" spans="11:11">
      <c r="K57" s="13"/>
    </row>
    <row r="58" spans="11:11">
      <c r="K58" s="13"/>
    </row>
    <row r="59" spans="11:11">
      <c r="K59" s="13"/>
    </row>
    <row r="60" spans="11:11">
      <c r="K60" s="13"/>
    </row>
    <row r="61" spans="11:11">
      <c r="K61" s="13"/>
    </row>
    <row r="62" spans="11:11">
      <c r="K62" s="13"/>
    </row>
    <row r="63" spans="11:11">
      <c r="K63" s="13"/>
    </row>
    <row r="64" spans="11:11">
      <c r="K64" s="13"/>
    </row>
    <row r="65" spans="11:11">
      <c r="K65" s="13"/>
    </row>
    <row r="66" spans="11:11">
      <c r="K66" s="13"/>
    </row>
    <row r="67" spans="11:11">
      <c r="K67" s="13"/>
    </row>
    <row r="68" spans="11:11">
      <c r="K68" s="13"/>
    </row>
    <row r="69" spans="11:11">
      <c r="K69" s="13"/>
    </row>
    <row r="70" spans="11:11">
      <c r="K70" s="13"/>
    </row>
    <row r="71" spans="11:11">
      <c r="K71" s="13"/>
    </row>
    <row r="72" spans="11:11">
      <c r="K72" s="13"/>
    </row>
    <row r="73" spans="11:11">
      <c r="K73" s="13"/>
    </row>
    <row r="74" spans="11:11">
      <c r="K74" s="13"/>
    </row>
    <row r="75" spans="11:11">
      <c r="K75" s="13"/>
    </row>
    <row r="76" spans="11:11">
      <c r="K76" s="13"/>
    </row>
    <row r="77" spans="11:11">
      <c r="K77" s="13"/>
    </row>
    <row r="78" spans="11:11">
      <c r="K78" s="13"/>
    </row>
    <row r="79" spans="11:11">
      <c r="K79" s="13"/>
    </row>
    <row r="80" spans="11:11">
      <c r="K80" s="13"/>
    </row>
    <row r="81" spans="11:11">
      <c r="K81" s="13"/>
    </row>
    <row r="82" spans="11:11">
      <c r="K82" s="13"/>
    </row>
    <row r="83" spans="11:11">
      <c r="K83" s="13"/>
    </row>
    <row r="84" spans="11:11">
      <c r="K84" s="13"/>
    </row>
    <row r="85" spans="11:11">
      <c r="K85" s="13"/>
    </row>
    <row r="86" spans="11:11">
      <c r="K86" s="13"/>
    </row>
    <row r="87" spans="11:11">
      <c r="K87" s="13"/>
    </row>
    <row r="88" spans="11:11">
      <c r="K88" s="13"/>
    </row>
    <row r="89" spans="11:11">
      <c r="K89" s="13"/>
    </row>
    <row r="90" spans="11:11">
      <c r="K90" s="13"/>
    </row>
    <row r="91" spans="11:11">
      <c r="K91" s="13"/>
    </row>
    <row r="92" spans="11:11">
      <c r="K92" s="13"/>
    </row>
    <row r="93" spans="11:11">
      <c r="K93" s="13"/>
    </row>
    <row r="94" spans="11:11">
      <c r="K94" s="13"/>
    </row>
    <row r="95" spans="11:11">
      <c r="K95" s="13"/>
    </row>
    <row r="96" spans="11:11">
      <c r="K96" s="13"/>
    </row>
    <row r="97" spans="11:11">
      <c r="K97" s="13"/>
    </row>
    <row r="98" spans="11:11">
      <c r="K98" s="13"/>
    </row>
    <row r="99" spans="11:11">
      <c r="K99" s="13"/>
    </row>
    <row r="100" spans="11:11">
      <c r="K100" s="13"/>
    </row>
    <row r="101" spans="11:11">
      <c r="K101" s="13"/>
    </row>
    <row r="102" spans="11:11">
      <c r="K102" s="13"/>
    </row>
    <row r="103" spans="11:11">
      <c r="K103" s="13"/>
    </row>
    <row r="104" spans="11:11">
      <c r="K104" s="13"/>
    </row>
    <row r="105" spans="11:11">
      <c r="K105" s="13"/>
    </row>
    <row r="106" spans="11:11">
      <c r="K106" s="13"/>
    </row>
    <row r="107" spans="11:11">
      <c r="K107" s="13"/>
    </row>
    <row r="108" spans="11:11">
      <c r="K108" s="13"/>
    </row>
    <row r="109" spans="11:11">
      <c r="K109" s="13"/>
    </row>
    <row r="110" spans="11:11">
      <c r="K110" s="13"/>
    </row>
    <row r="111" spans="11:11">
      <c r="K111" s="13"/>
    </row>
    <row r="112" spans="11:11">
      <c r="K112" s="13"/>
    </row>
    <row r="113" spans="11:11">
      <c r="K113" s="13"/>
    </row>
    <row r="114" spans="11:11">
      <c r="K114" s="13"/>
    </row>
    <row r="115" spans="11:11">
      <c r="K115" s="13"/>
    </row>
    <row r="116" spans="11:11">
      <c r="K116" s="13"/>
    </row>
    <row r="117" spans="11:11">
      <c r="K117" s="13"/>
    </row>
    <row r="118" spans="11:11">
      <c r="K118" s="13"/>
    </row>
    <row r="119" spans="11:11">
      <c r="K119" s="13"/>
    </row>
    <row r="120" spans="11:11">
      <c r="K120" s="13"/>
    </row>
    <row r="121" spans="11:11">
      <c r="K121" s="13"/>
    </row>
    <row r="122" spans="11:11">
      <c r="K122" s="13"/>
    </row>
    <row r="123" spans="11:11">
      <c r="K123" s="13"/>
    </row>
    <row r="124" spans="11:11">
      <c r="K124" s="13"/>
    </row>
    <row r="125" spans="11:11">
      <c r="K125" s="13"/>
    </row>
    <row r="126" spans="11:11">
      <c r="K126" s="13"/>
    </row>
    <row r="127" spans="11:11">
      <c r="K127" s="13"/>
    </row>
    <row r="128" spans="11:11">
      <c r="K128" s="13"/>
    </row>
    <row r="129" spans="11:11">
      <c r="K129" s="13"/>
    </row>
    <row r="130" spans="11:11">
      <c r="K130" s="13"/>
    </row>
    <row r="131" spans="11:11">
      <c r="K131" s="13"/>
    </row>
    <row r="132" spans="11:11">
      <c r="K132" s="13"/>
    </row>
    <row r="133" spans="11:11">
      <c r="K133" s="13"/>
    </row>
    <row r="134" spans="11:11">
      <c r="K134" s="13"/>
    </row>
    <row r="135" spans="11:11">
      <c r="K135" s="13"/>
    </row>
    <row r="136" spans="11:11">
      <c r="K136" s="13"/>
    </row>
    <row r="137" spans="11:11">
      <c r="K137" s="13"/>
    </row>
    <row r="138" spans="11:11">
      <c r="K138" s="13"/>
    </row>
    <row r="139" spans="11:11">
      <c r="K139" s="13"/>
    </row>
    <row r="140" spans="11:11">
      <c r="K140" s="13"/>
    </row>
    <row r="141" spans="11:11">
      <c r="K141" s="13"/>
    </row>
    <row r="142" spans="11:11">
      <c r="K142" s="13"/>
    </row>
    <row r="143" spans="11:11">
      <c r="K143" s="13"/>
    </row>
    <row r="144" spans="11:11">
      <c r="K144" s="13"/>
    </row>
    <row r="145" spans="11:11">
      <c r="K145" s="13"/>
    </row>
    <row r="146" spans="11:11">
      <c r="K146" s="13"/>
    </row>
    <row r="147" spans="11:11">
      <c r="K147" s="13"/>
    </row>
    <row r="148" spans="11:11">
      <c r="K148" s="13"/>
    </row>
    <row r="149" spans="11:11">
      <c r="K149" s="13"/>
    </row>
    <row r="150" spans="11:11">
      <c r="K150" s="13"/>
    </row>
    <row r="151" spans="11:11">
      <c r="K151" s="13"/>
    </row>
    <row r="152" spans="11:11">
      <c r="K152" s="13"/>
    </row>
    <row r="153" spans="11:11">
      <c r="K153" s="13"/>
    </row>
    <row r="154" spans="11:11">
      <c r="K154" s="13"/>
    </row>
    <row r="155" spans="11:11">
      <c r="K155" s="13"/>
    </row>
    <row r="156" spans="11:11">
      <c r="K156" s="13"/>
    </row>
    <row r="157" spans="11:11">
      <c r="K157" s="13"/>
    </row>
    <row r="158" spans="11:11">
      <c r="K158" s="13"/>
    </row>
    <row r="159" spans="11:11">
      <c r="K159" s="13"/>
    </row>
    <row r="160" spans="11:11">
      <c r="K160" s="13"/>
    </row>
    <row r="161" spans="11:11">
      <c r="K161" s="13"/>
    </row>
    <row r="162" spans="11:11">
      <c r="K162" s="13"/>
    </row>
    <row r="163" spans="11:11">
      <c r="K163" s="13"/>
    </row>
    <row r="164" spans="11:11">
      <c r="K164" s="13"/>
    </row>
    <row r="165" spans="11:11">
      <c r="K165" s="13"/>
    </row>
    <row r="166" spans="11:11">
      <c r="K166" s="13"/>
    </row>
    <row r="167" spans="11:11">
      <c r="K167" s="13"/>
    </row>
    <row r="168" spans="11:11">
      <c r="K168" s="13"/>
    </row>
    <row r="169" spans="11:11">
      <c r="K169" s="13"/>
    </row>
    <row r="170" spans="11:11">
      <c r="K170" s="13"/>
    </row>
    <row r="171" spans="11:11">
      <c r="K171" s="13"/>
    </row>
    <row r="172" spans="11:11">
      <c r="K172" s="13"/>
    </row>
    <row r="173" spans="11:11">
      <c r="K173" s="13"/>
    </row>
    <row r="174" spans="11:11">
      <c r="K174" s="13"/>
    </row>
    <row r="175" spans="11:11">
      <c r="K175" s="13"/>
    </row>
    <row r="176" spans="11:11">
      <c r="K176" s="13"/>
    </row>
    <row r="177" spans="11:11">
      <c r="K177" s="13"/>
    </row>
    <row r="178" spans="11:11">
      <c r="K178" s="13"/>
    </row>
    <row r="179" spans="11:11">
      <c r="K179" s="13"/>
    </row>
    <row r="180" spans="11:11">
      <c r="K180" s="13"/>
    </row>
    <row r="181" spans="11:11">
      <c r="K181" s="13"/>
    </row>
    <row r="182" spans="11:11">
      <c r="K182" s="13"/>
    </row>
    <row r="183" spans="11:11">
      <c r="K183" s="13"/>
    </row>
    <row r="184" spans="11:11">
      <c r="K184" s="13"/>
    </row>
    <row r="185" spans="11:11">
      <c r="K185" s="13"/>
    </row>
    <row r="186" spans="11:11">
      <c r="K186" s="13"/>
    </row>
    <row r="187" spans="11:11">
      <c r="K187" s="13"/>
    </row>
    <row r="188" spans="11:11">
      <c r="K188" s="13"/>
    </row>
    <row r="189" spans="11:11">
      <c r="K189" s="13"/>
    </row>
    <row r="190" spans="11:11">
      <c r="K190" s="13"/>
    </row>
    <row r="191" spans="11:11">
      <c r="K191" s="13"/>
    </row>
    <row r="192" spans="11:11">
      <c r="K192" s="13"/>
    </row>
    <row r="193" spans="11:11">
      <c r="K193" s="13"/>
    </row>
    <row r="194" spans="11:11">
      <c r="K194" s="13"/>
    </row>
    <row r="195" spans="11:11">
      <c r="K195" s="13"/>
    </row>
    <row r="196" spans="11:11">
      <c r="K196" s="13"/>
    </row>
    <row r="197" spans="11:11">
      <c r="K197" s="13"/>
    </row>
    <row r="198" spans="11:11">
      <c r="K198" s="13"/>
    </row>
    <row r="199" spans="11:11">
      <c r="K199" s="13"/>
    </row>
    <row r="200" spans="11:11">
      <c r="K200" s="13"/>
    </row>
    <row r="201" spans="11:11">
      <c r="K201" s="13"/>
    </row>
    <row r="202" spans="11:11">
      <c r="K202" s="13"/>
    </row>
    <row r="203" spans="11:11">
      <c r="K203" s="13"/>
    </row>
    <row r="204" spans="11:11">
      <c r="K204" s="13"/>
    </row>
    <row r="205" spans="11:11">
      <c r="K205" s="13"/>
    </row>
    <row r="206" spans="11:11">
      <c r="K206" s="13"/>
    </row>
    <row r="207" spans="11:11">
      <c r="K207" s="13"/>
    </row>
    <row r="208" spans="11:11">
      <c r="K208" s="13"/>
    </row>
    <row r="209" spans="11:11">
      <c r="K209" s="13"/>
    </row>
    <row r="210" spans="11:11">
      <c r="K210" s="13"/>
    </row>
    <row r="211" spans="11:11">
      <c r="K211" s="13"/>
    </row>
    <row r="212" spans="11:11">
      <c r="K212" s="13"/>
    </row>
    <row r="213" spans="11:11">
      <c r="K213" s="13"/>
    </row>
    <row r="214" spans="11:11">
      <c r="K214" s="13"/>
    </row>
    <row r="215" spans="11:11">
      <c r="K215" s="13"/>
    </row>
    <row r="216" spans="11:11">
      <c r="K216" s="13"/>
    </row>
    <row r="217" spans="11:11">
      <c r="K217" s="13"/>
    </row>
    <row r="218" spans="11:11">
      <c r="K218" s="13"/>
    </row>
    <row r="219" spans="11:11">
      <c r="K219" s="13"/>
    </row>
    <row r="220" spans="11:11">
      <c r="K220" s="13"/>
    </row>
    <row r="221" spans="11:11">
      <c r="K221" s="13"/>
    </row>
    <row r="222" spans="11:11">
      <c r="K222" s="13"/>
    </row>
    <row r="223" spans="11:11">
      <c r="K223" s="13"/>
    </row>
    <row r="224" spans="11:11">
      <c r="K224" s="13"/>
    </row>
    <row r="225" spans="11:11">
      <c r="K225" s="13"/>
    </row>
    <row r="226" spans="11:11">
      <c r="K226" s="13"/>
    </row>
    <row r="227" spans="11:11">
      <c r="K227" s="13"/>
    </row>
    <row r="228" spans="11:11">
      <c r="K228" s="13"/>
    </row>
  </sheetData>
  <sheetProtection algorithmName="SHA-512" hashValue="1tAMfwz2c3E0VE7XqX8QN+Y055XWVnmCPSnjgP0hKygCFFqo5q7cclMshivsBj+dO/2ASvxyVDzTptgISCeIVA==" saltValue="vhzuLq6XfYp9ZnV2wnf+4w==" spinCount="100000" sheet="1" objects="1" scenarios="1"/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a2630c0-a840-4b55-9584-2aa7070ffc9b}" enabled="1" method="Privileged" siteId="{70a6eba4-9671-45d2-b83e-432e065022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Configuration</vt:lpstr>
      <vt:lpstr>ProcessData</vt:lpstr>
      <vt:lpstr>Composition</vt:lpstr>
      <vt:lpstr>Turbine_unc</vt:lpstr>
      <vt:lpstr>USM_unc</vt:lpstr>
      <vt:lpstr>Coriolis_unc</vt:lpstr>
      <vt:lpstr>T_unc</vt:lpstr>
      <vt:lpstr>P_unc</vt:lpstr>
      <vt:lpstr>Composition_unc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Kjetil Folgerø</dc:creator>
  <cp:lastModifiedBy>Lea Starck</cp:lastModifiedBy>
  <dcterms:created xsi:type="dcterms:W3CDTF">2022-11-04T13:19:02Z</dcterms:created>
  <dcterms:modified xsi:type="dcterms:W3CDTF">2025-10-09T07:22:54Z</dcterms:modified>
</cp:coreProperties>
</file>